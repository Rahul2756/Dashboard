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hwtech-my.sharepoint.com/personal/intern41_chtech_in/Documents/Desktop/Cube/Office Dashboard(files)/"/>
    </mc:Choice>
  </mc:AlternateContent>
  <xr:revisionPtr revIDLastSave="12" documentId="8_{F91CE3B4-36AE-4ACA-AA51-4D6584AC3520}" xr6:coauthVersionLast="47" xr6:coauthVersionMax="47" xr10:uidLastSave="{F6F2F508-3708-4C9D-A588-303E019A2876}"/>
  <bookViews>
    <workbookView xWindow="-120" yWindow="-120" windowWidth="20730" windowHeight="110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4" l="1"/>
  <c r="I14" i="4"/>
  <c r="I15" i="4"/>
  <c r="L8" i="2"/>
  <c r="L7" i="2"/>
  <c r="L5" i="2"/>
  <c r="L4" i="2"/>
  <c r="I27" i="3"/>
  <c r="I8" i="3"/>
  <c r="I10" i="3"/>
  <c r="I7" i="3"/>
  <c r="I6" i="3"/>
  <c r="H4" i="3"/>
  <c r="I4" i="3" s="1"/>
  <c r="I12" i="4"/>
  <c r="AF55" i="3"/>
  <c r="I8" i="4" l="1"/>
  <c r="I9" i="4"/>
  <c r="I10" i="4"/>
  <c r="I11" i="4"/>
  <c r="S10" i="3"/>
  <c r="D20" i="1"/>
  <c r="D22" i="1" s="1"/>
  <c r="H2" i="1"/>
  <c r="G9" i="1"/>
  <c r="H9" i="1" s="1"/>
  <c r="I9" i="1"/>
  <c r="J9" i="1"/>
  <c r="G8" i="1"/>
  <c r="J8" i="1" s="1"/>
  <c r="G7" i="1"/>
  <c r="J7" i="1" s="1"/>
  <c r="G6" i="1"/>
  <c r="J6" i="1" s="1"/>
  <c r="G5" i="1"/>
  <c r="J5" i="1" s="1"/>
  <c r="G4" i="1"/>
  <c r="J4" i="1" s="1"/>
  <c r="G3" i="1"/>
  <c r="J3" i="1" s="1"/>
  <c r="G2" i="1"/>
  <c r="D23" i="1" l="1"/>
  <c r="I2" i="1"/>
  <c r="J2" i="1"/>
  <c r="J10" i="1" s="1"/>
  <c r="H6" i="1"/>
  <c r="I6" i="1"/>
  <c r="H3" i="1"/>
  <c r="H10" i="1" s="1"/>
  <c r="I3" i="1"/>
  <c r="H7" i="1"/>
  <c r="I7" i="1"/>
  <c r="H4" i="1"/>
  <c r="I4" i="1"/>
  <c r="H8" i="1"/>
  <c r="I8" i="1"/>
  <c r="H5" i="1"/>
  <c r="I5" i="1"/>
  <c r="I10" i="1" l="1"/>
</calcChain>
</file>

<file path=xl/sharedStrings.xml><?xml version="1.0" encoding="utf-8"?>
<sst xmlns="http://schemas.openxmlformats.org/spreadsheetml/2006/main" count="498" uniqueCount="181">
  <si>
    <t>State</t>
  </si>
  <si>
    <t>Project</t>
  </si>
  <si>
    <t>Plaza Name</t>
  </si>
  <si>
    <t>Days</t>
  </si>
  <si>
    <t>Directions</t>
  </si>
  <si>
    <t>Hours</t>
  </si>
  <si>
    <t>Total Hours Per Location</t>
  </si>
  <si>
    <t>Processing 8*15</t>
  </si>
  <si>
    <t>Processing 10*15</t>
  </si>
  <si>
    <t>Processing 4*15</t>
  </si>
  <si>
    <t>Bikaner-Sikar</t>
  </si>
  <si>
    <t>Udairamsar Toll Plaza</t>
  </si>
  <si>
    <t>Lakhasar Toll Plaza</t>
  </si>
  <si>
    <t>Tidiayasar Toll Plaza</t>
  </si>
  <si>
    <t>Rashidpura Toll Plaza</t>
  </si>
  <si>
    <t>Moradabad-Bareilly</t>
  </si>
  <si>
    <t>Thiryakhetal Toll Plaza</t>
  </si>
  <si>
    <t>Niyamatpur Ekrotiya Toll Plaza</t>
  </si>
  <si>
    <t>Pune-Solapur</t>
  </si>
  <si>
    <t>Sawaleshwar Toll Plaza</t>
  </si>
  <si>
    <t>Varwade Toll Plaza</t>
  </si>
  <si>
    <t xml:space="preserve">Total Processing Working Days </t>
  </si>
  <si>
    <t>Per Person Per day</t>
  </si>
  <si>
    <t>Present Members</t>
  </si>
  <si>
    <t>Note: Per hour 500 to 600 vehicle counting</t>
  </si>
  <si>
    <t>Total locations</t>
  </si>
  <si>
    <t>No of videos per location</t>
  </si>
  <si>
    <t>Total No of videos</t>
  </si>
  <si>
    <t>Video counting per person per day</t>
  </si>
  <si>
    <t xml:space="preserve">Total processing working days (Per day 15 Nos) </t>
  </si>
  <si>
    <t xml:space="preserve">Total processing working days (Per day 30 Nos) </t>
  </si>
  <si>
    <t>Sr.No</t>
  </si>
  <si>
    <t>Toll Plaza</t>
  </si>
  <si>
    <t>TVC Survey</t>
  </si>
  <si>
    <t>Total vehicles</t>
  </si>
  <si>
    <t>Expected Data Inflow</t>
  </si>
  <si>
    <t>Expected Processing Date</t>
  </si>
  <si>
    <t>Data No of days</t>
  </si>
  <si>
    <t>Status of Data</t>
  </si>
  <si>
    <t xml:space="preserve"> Received Date</t>
  </si>
  <si>
    <t>Date of Submission</t>
  </si>
  <si>
    <t>Data submitted for No of Days</t>
  </si>
  <si>
    <t>Remarks</t>
  </si>
  <si>
    <t>12-09-2026 to 18-09-2026</t>
  </si>
  <si>
    <t>Data Received</t>
  </si>
  <si>
    <t>4 Days</t>
  </si>
  <si>
    <t>Project Name</t>
  </si>
  <si>
    <t>Submission date</t>
  </si>
  <si>
    <t xml:space="preserve"> Day</t>
  </si>
  <si>
    <t>3 Days</t>
  </si>
  <si>
    <t>3 Day</t>
  </si>
  <si>
    <t>4 Day</t>
  </si>
  <si>
    <t>5 Day</t>
  </si>
  <si>
    <t>5 Days</t>
  </si>
  <si>
    <t>Data Not yet Received</t>
  </si>
  <si>
    <t>26-09-2026 to 02-10-2026</t>
  </si>
  <si>
    <t> 09-10-2026</t>
  </si>
  <si>
    <t>Partially received</t>
  </si>
  <si>
    <t xml:space="preserve">1 day </t>
  </si>
  <si>
    <t>2day 16 hours</t>
  </si>
  <si>
    <t>Project Stretch</t>
  </si>
  <si>
    <t>Tentative TVC Survey</t>
  </si>
  <si>
    <t>Total Traffic</t>
  </si>
  <si>
    <t>Expected Data inflow</t>
  </si>
  <si>
    <t>Lucknow-Sitapur</t>
  </si>
  <si>
    <t>Khairabad Toll Plaza</t>
  </si>
  <si>
    <t>18-09-2026 to 28-09-2026</t>
  </si>
  <si>
    <t>7 days</t>
  </si>
  <si>
    <t>4 days</t>
  </si>
  <si>
    <t>Itaunja Toll Plaza</t>
  </si>
  <si>
    <t>Hardoi-Lucknow</t>
  </si>
  <si>
    <t>Balleerpur Toll Plaza</t>
  </si>
  <si>
    <t>3 days</t>
  </si>
  <si>
    <t>Agra Lucknow Expressway</t>
  </si>
  <si>
    <t>Revari Toll Plaza</t>
  </si>
  <si>
    <t>22-09-2026 to 30-08-2026</t>
  </si>
  <si>
    <t xml:space="preserve">  </t>
  </si>
  <si>
    <t>Missing</t>
  </si>
  <si>
    <t>Direction Name</t>
  </si>
  <si>
    <t>Total Data Received  Days updates</t>
  </si>
  <si>
    <t>Date</t>
  </si>
  <si>
    <t>S No</t>
  </si>
  <si>
    <t>Data Received  Days</t>
  </si>
  <si>
    <t>Courier Tracking ID</t>
  </si>
  <si>
    <t>Data Received  Date</t>
  </si>
  <si>
    <t>Download Time</t>
  </si>
  <si>
    <t>No of days</t>
  </si>
  <si>
    <t>Total Day</t>
  </si>
  <si>
    <t>S.No</t>
  </si>
  <si>
    <t>Total Videos</t>
  </si>
  <si>
    <t xml:space="preserve"> To Bikaner</t>
  </si>
  <si>
    <t>3 DAYS Both Direction 8 HOURS</t>
  </si>
  <si>
    <t>To Fathepur</t>
  </si>
  <si>
    <t xml:space="preserve"> To Sikar</t>
  </si>
  <si>
    <t xml:space="preserve">1 Day 7hours </t>
  </si>
  <si>
    <t>Download</t>
  </si>
  <si>
    <t>1 Day 7 hours</t>
  </si>
  <si>
    <t>To Rataghar</t>
  </si>
  <si>
    <t xml:space="preserve"> 20,22</t>
  </si>
  <si>
    <t>10 hours</t>
  </si>
  <si>
    <t>3 DAYS Both Direction  8 HOURS</t>
  </si>
  <si>
    <t>3,5,11</t>
  </si>
  <si>
    <t>To Hanumanga</t>
  </si>
  <si>
    <t xml:space="preserve"> 19 hours</t>
  </si>
  <si>
    <t>2 Day 7 hours</t>
  </si>
  <si>
    <r>
      <rPr>
        <b/>
        <sz val="11"/>
        <color theme="1"/>
        <rFont val="Calibri"/>
        <family val="2"/>
        <scheme val="minor"/>
      </rPr>
      <t>23:59:00 to 00:17:00</t>
    </r>
    <r>
      <rPr>
        <sz val="11"/>
        <color theme="1"/>
        <rFont val="Calibri"/>
        <family val="2"/>
        <scheme val="minor"/>
      </rPr>
      <t xml:space="preserve">                             in front of cam there is a vehicle</t>
    </r>
  </si>
  <si>
    <t xml:space="preserve"> 21hours</t>
  </si>
  <si>
    <t>1 DAY one Direction23 HOUR</t>
  </si>
  <si>
    <t xml:space="preserve">1 Day 8hours </t>
  </si>
  <si>
    <t>1 Day 8 hours</t>
  </si>
  <si>
    <t xml:space="preserve"> 13 hours</t>
  </si>
  <si>
    <t>1 Day</t>
  </si>
  <si>
    <t>1 DAY one Direction 8 HOUR</t>
  </si>
  <si>
    <t>16 hours</t>
  </si>
  <si>
    <t>14:00 PM</t>
  </si>
  <si>
    <t>18 hours</t>
  </si>
  <si>
    <t>13 hours</t>
  </si>
  <si>
    <t>49 hours</t>
  </si>
  <si>
    <t>14:30 PM</t>
  </si>
  <si>
    <t>4 DAYS one Direction 15 HOURS</t>
  </si>
  <si>
    <t>4 DAYS one Direction 20 HOURS</t>
  </si>
  <si>
    <t>17 hours</t>
  </si>
  <si>
    <t>8 DAYS Both Direction</t>
  </si>
  <si>
    <t>48 hours</t>
  </si>
  <si>
    <t>video</t>
  </si>
  <si>
    <t>Total video</t>
  </si>
  <si>
    <t>23 hours</t>
  </si>
  <si>
    <t>3 DAY one Direction 31 HOUR</t>
  </si>
  <si>
    <t>00:00:00 to 18:59:59</t>
  </si>
  <si>
    <t>4 DAY one Direction 20 HOUR</t>
  </si>
  <si>
    <t>00:00:00 to 11:59:59</t>
  </si>
  <si>
    <t>36 hours</t>
  </si>
  <si>
    <t>Arun Sir</t>
  </si>
  <si>
    <t>4 DAYS Both Direction</t>
  </si>
  <si>
    <t>34 hours</t>
  </si>
  <si>
    <t>To jodhpur</t>
  </si>
  <si>
    <t>2 Day 20 hours</t>
  </si>
  <si>
    <t>1 day 31 hours</t>
  </si>
  <si>
    <t>18 HOUR 1 DAY 9 HOUR</t>
  </si>
  <si>
    <t>11 DAYS Both Direction</t>
  </si>
  <si>
    <t>1 day 8 hours</t>
  </si>
  <si>
    <t>2 day 16 hours</t>
  </si>
  <si>
    <t>Process</t>
  </si>
  <si>
    <t>41 hours</t>
  </si>
  <si>
    <t>Both Direction</t>
  </si>
  <si>
    <t xml:space="preserve"> 4 DAYS Both Direction</t>
  </si>
  <si>
    <t>X1011574954</t>
  </si>
  <si>
    <t>18:00 PM</t>
  </si>
  <si>
    <t xml:space="preserve">8 DAY one Direction </t>
  </si>
  <si>
    <t>9 DAY one Direction 7 HOUR</t>
  </si>
  <si>
    <t xml:space="preserve"> 3 DAYS Both Direction</t>
  </si>
  <si>
    <t>To Pune</t>
  </si>
  <si>
    <t>1 day</t>
  </si>
  <si>
    <t>To Solapur</t>
  </si>
  <si>
    <t>Missing Videos</t>
  </si>
  <si>
    <t>5 DAY one Direction</t>
  </si>
  <si>
    <t>Videos</t>
  </si>
  <si>
    <t>19:00 PM</t>
  </si>
  <si>
    <t>8 DAY one Direction</t>
  </si>
  <si>
    <t>19:00:00 to 20:59:59</t>
  </si>
  <si>
    <t xml:space="preserve">10 DAY one Direction </t>
  </si>
  <si>
    <t>11 DAY one Direction</t>
  </si>
  <si>
    <t>17:00:00 To 17:59:59</t>
  </si>
  <si>
    <t>24 Videos</t>
  </si>
  <si>
    <t>23:00:00 To 23:59:59</t>
  </si>
  <si>
    <t>19:00:00 to 23:59:59</t>
  </si>
  <si>
    <t>10:00:00 to 10:59:59</t>
  </si>
  <si>
    <t>11:00:00 to 11:59:59</t>
  </si>
  <si>
    <t>15:00:00 to 23:59:59</t>
  </si>
  <si>
    <t>09:00:00 to 23:59:59</t>
  </si>
  <si>
    <t>07:00:00 to 23:59:59</t>
  </si>
  <si>
    <t xml:space="preserve"> 24 Videos</t>
  </si>
  <si>
    <t>18:00:00 to 23:59:59</t>
  </si>
  <si>
    <t>To Hardoi</t>
  </si>
  <si>
    <t>00:00:00 To 00:59:59</t>
  </si>
  <si>
    <t>Location Name</t>
  </si>
  <si>
    <t>Location</t>
  </si>
  <si>
    <t>Total scope</t>
  </si>
  <si>
    <t>Process(No of days)</t>
  </si>
  <si>
    <t>Completed (No of days)</t>
  </si>
  <si>
    <t>Balance (No of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</si>
</sst>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erpetua"/>
      <family val="1"/>
    </font>
    <font>
      <sz val="11"/>
      <color theme="1"/>
      <name val="Perpetua"/>
      <family val="1"/>
    </font>
    <font>
      <sz val="11"/>
      <color rgb="FFFF0000"/>
      <name val="Perpetua"/>
      <family val="1"/>
    </font>
    <font>
      <sz val="11"/>
      <color rgb="FF000000"/>
      <name val="Aptos"/>
      <family val="2"/>
    </font>
    <font>
      <sz val="11"/>
      <color rgb="FF000000"/>
      <name val="Inherit"/>
    </font>
    <font>
      <b/>
      <sz val="11"/>
      <color rgb="FF242424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Perpetua"/>
      <family val="1"/>
    </font>
    <font>
      <sz val="12"/>
      <color rgb="FF000000"/>
      <name val="Aptos"/>
      <family val="2"/>
    </font>
    <font>
      <b/>
      <sz val="14"/>
      <color theme="1"/>
      <name val="Perpetua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Perpetua"/>
      <family val="1"/>
    </font>
    <font>
      <b/>
      <sz val="11"/>
      <color rgb="FF000000"/>
      <name val="Perpetua"/>
      <family val="1"/>
    </font>
    <font>
      <b/>
      <sz val="11"/>
      <color rgb="FF242424"/>
      <name val="Perpetua"/>
      <family val="1"/>
    </font>
    <font>
      <b/>
      <sz val="12"/>
      <color rgb="FF000000"/>
      <name val="Perpetua"/>
      <family val="1"/>
    </font>
    <font>
      <sz val="12"/>
      <color rgb="FF000000"/>
      <name val="Perpetua"/>
      <family val="1"/>
    </font>
  </fonts>
  <fills count="7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8" fontId="0" fillId="0" borderId="1" xfId="0" applyNumberFormat="1" applyBorder="1" applyAlignment="1">
      <alignment horizontal="center" vertical="center"/>
    </xf>
    <xf numFmtId="18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0" fontId="1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 readingOrder="1"/>
    </xf>
    <xf numFmtId="0" fontId="15" fillId="2" borderId="21" xfId="0" applyFont="1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14" fontId="9" fillId="0" borderId="1" xfId="0" applyNumberFormat="1" applyFont="1" applyBorder="1" applyAlignment="1">
      <alignment horizontal="center" vertical="center" readingOrder="1"/>
    </xf>
    <xf numFmtId="14" fontId="9" fillId="0" borderId="0" xfId="0" applyNumberFormat="1" applyFont="1" applyAlignment="1">
      <alignment horizontal="center" vertical="center" readingOrder="1"/>
    </xf>
    <xf numFmtId="0" fontId="2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readingOrder="1"/>
    </xf>
    <xf numFmtId="18" fontId="3" fillId="0" borderId="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readingOrder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readingOrder="1"/>
    </xf>
    <xf numFmtId="0" fontId="9" fillId="0" borderId="17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18" fillId="0" borderId="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readingOrder="1"/>
    </xf>
    <xf numFmtId="0" fontId="9" fillId="0" borderId="1" xfId="0" applyFont="1" applyBorder="1" applyAlignment="1">
      <alignment vertical="center" readingOrder="1"/>
    </xf>
    <xf numFmtId="0" fontId="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center" vertical="center" readingOrder="1"/>
    </xf>
    <xf numFmtId="0" fontId="9" fillId="0" borderId="19" xfId="0" applyFont="1" applyBorder="1" applyAlignment="1">
      <alignment horizontal="center" vertical="center" readingOrder="1"/>
    </xf>
    <xf numFmtId="0" fontId="9" fillId="0" borderId="20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center" vertical="center" readingOrder="1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7" xfId="0" applyFont="1" applyBorder="1" applyAlignment="1">
      <alignment horizontal="center" vertical="center" readingOrder="1"/>
    </xf>
    <xf numFmtId="0" fontId="9" fillId="0" borderId="8" xfId="0" applyFont="1" applyBorder="1" applyAlignment="1">
      <alignment horizontal="center" vertical="center" readingOrder="1"/>
    </xf>
    <xf numFmtId="14" fontId="9" fillId="0" borderId="7" xfId="0" applyNumberFormat="1" applyFont="1" applyBorder="1" applyAlignment="1">
      <alignment horizontal="center" vertical="center" readingOrder="1"/>
    </xf>
    <xf numFmtId="14" fontId="9" fillId="0" borderId="8" xfId="0" applyNumberFormat="1" applyFont="1" applyBorder="1" applyAlignment="1">
      <alignment horizontal="center" vertical="center" readingOrder="1"/>
    </xf>
    <xf numFmtId="0" fontId="9" fillId="0" borderId="6" xfId="0" applyFont="1" applyBorder="1" applyAlignment="1">
      <alignment horizontal="center" vertical="center" readingOrder="1"/>
    </xf>
    <xf numFmtId="0" fontId="9" fillId="0" borderId="3" xfId="0" applyFont="1" applyBorder="1" applyAlignment="1">
      <alignment horizontal="center" vertical="center" readingOrder="1"/>
    </xf>
    <xf numFmtId="0" fontId="9" fillId="0" borderId="10" xfId="0" applyFont="1" applyBorder="1" applyAlignment="1">
      <alignment horizontal="center" vertical="center" readingOrder="1"/>
    </xf>
    <xf numFmtId="0" fontId="9" fillId="0" borderId="17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" fontId="0" fillId="0" borderId="7" xfId="0" applyNumberFormat="1" applyBorder="1" applyAlignment="1">
      <alignment horizontal="center" vertical="center"/>
    </xf>
    <xf numFmtId="18" fontId="0" fillId="0" borderId="10" xfId="0" applyNumberFormat="1" applyBorder="1" applyAlignment="1">
      <alignment horizontal="center" vertical="center"/>
    </xf>
    <xf numFmtId="18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readingOrder="1"/>
    </xf>
    <xf numFmtId="0" fontId="5" fillId="0" borderId="4" xfId="0" applyFont="1" applyBorder="1" applyAlignment="1">
      <alignment horizontal="left" vertical="center" readingOrder="1"/>
    </xf>
    <xf numFmtId="0" fontId="5" fillId="0" borderId="3" xfId="0" applyFont="1" applyBorder="1" applyAlignment="1">
      <alignment horizontal="left" vertical="center" readingOrder="1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C14" sqref="C14"/>
    </sheetView>
  </sheetViews>
  <sheetFormatPr defaultColWidth="9.140625" defaultRowHeight="15.75"/>
  <cols>
    <col min="1" max="1" width="10" style="3" bestFit="1" customWidth="1"/>
    <col min="2" max="2" width="28.42578125" style="5" bestFit="1" customWidth="1"/>
    <col min="3" max="3" width="37.85546875" style="5" customWidth="1"/>
    <col min="4" max="4" width="13.7109375" style="3" customWidth="1"/>
    <col min="5" max="5" width="8.42578125" style="3" bestFit="1" customWidth="1"/>
    <col min="6" max="6" width="5.42578125" style="3" bestFit="1" customWidth="1"/>
    <col min="7" max="7" width="21.42578125" style="3" customWidth="1"/>
    <col min="8" max="8" width="15.42578125" style="3" customWidth="1"/>
    <col min="9" max="9" width="13.28515625" style="3" bestFit="1" customWidth="1"/>
    <col min="10" max="10" width="12.28515625" style="3" bestFit="1" customWidth="1"/>
    <col min="11" max="16384" width="9.140625" style="3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>
        <v>1</v>
      </c>
      <c r="B2" s="91" t="s">
        <v>10</v>
      </c>
      <c r="C2" s="10" t="s">
        <v>11</v>
      </c>
      <c r="D2" s="2">
        <v>7</v>
      </c>
      <c r="E2" s="2">
        <v>2</v>
      </c>
      <c r="F2" s="2">
        <v>24</v>
      </c>
      <c r="G2" s="2">
        <f>F2*E2*D2</f>
        <v>336</v>
      </c>
      <c r="H2" s="4">
        <f>G2/($H$12*$H$13)</f>
        <v>2.8</v>
      </c>
      <c r="I2" s="4">
        <f>G2/($I$12*$I$13)</f>
        <v>2.2400000000000002</v>
      </c>
      <c r="J2" s="4">
        <f>G2/($J$12*$J$13)</f>
        <v>5.6</v>
      </c>
    </row>
    <row r="3" spans="1:10">
      <c r="A3" s="2">
        <v>2</v>
      </c>
      <c r="B3" s="92"/>
      <c r="C3" s="10" t="s">
        <v>12</v>
      </c>
      <c r="D3" s="2">
        <v>7</v>
      </c>
      <c r="E3" s="2">
        <v>2</v>
      </c>
      <c r="F3" s="2">
        <v>24</v>
      </c>
      <c r="G3" s="2">
        <f t="shared" ref="G3:G8" si="0">F3*E3*D3</f>
        <v>336</v>
      </c>
      <c r="H3" s="4">
        <f t="shared" ref="H3:H8" si="1">G3/($H$12*$H$13)</f>
        <v>2.8</v>
      </c>
      <c r="I3" s="4">
        <f t="shared" ref="I3:I8" si="2">G3/($I$12*$I$13)</f>
        <v>2.2400000000000002</v>
      </c>
      <c r="J3" s="4">
        <f t="shared" ref="J3:J8" si="3">G3/($J$12*$J$13)</f>
        <v>5.6</v>
      </c>
    </row>
    <row r="4" spans="1:10">
      <c r="A4" s="2">
        <v>3</v>
      </c>
      <c r="B4" s="92"/>
      <c r="C4" s="10" t="s">
        <v>13</v>
      </c>
      <c r="D4" s="2">
        <v>7</v>
      </c>
      <c r="E4" s="2">
        <v>2</v>
      </c>
      <c r="F4" s="2">
        <v>24</v>
      </c>
      <c r="G4" s="2">
        <f t="shared" si="0"/>
        <v>336</v>
      </c>
      <c r="H4" s="4">
        <f t="shared" si="1"/>
        <v>2.8</v>
      </c>
      <c r="I4" s="4">
        <f t="shared" si="2"/>
        <v>2.2400000000000002</v>
      </c>
      <c r="J4" s="4">
        <f t="shared" si="3"/>
        <v>5.6</v>
      </c>
    </row>
    <row r="5" spans="1:10">
      <c r="A5" s="2">
        <v>4</v>
      </c>
      <c r="B5" s="93"/>
      <c r="C5" s="10" t="s">
        <v>14</v>
      </c>
      <c r="D5" s="2">
        <v>7</v>
      </c>
      <c r="E5" s="2">
        <v>2</v>
      </c>
      <c r="F5" s="2">
        <v>24</v>
      </c>
      <c r="G5" s="2">
        <f t="shared" si="0"/>
        <v>336</v>
      </c>
      <c r="H5" s="4">
        <f t="shared" si="1"/>
        <v>2.8</v>
      </c>
      <c r="I5" s="4">
        <f t="shared" si="2"/>
        <v>2.2400000000000002</v>
      </c>
      <c r="J5" s="4">
        <f t="shared" si="3"/>
        <v>5.6</v>
      </c>
    </row>
    <row r="6" spans="1:10">
      <c r="A6" s="2">
        <v>5</v>
      </c>
      <c r="B6" s="91" t="s">
        <v>15</v>
      </c>
      <c r="C6" s="10" t="s">
        <v>16</v>
      </c>
      <c r="D6" s="2">
        <v>7</v>
      </c>
      <c r="E6" s="2">
        <v>2</v>
      </c>
      <c r="F6" s="2">
        <v>24</v>
      </c>
      <c r="G6" s="2">
        <f t="shared" si="0"/>
        <v>336</v>
      </c>
      <c r="H6" s="4">
        <f t="shared" si="1"/>
        <v>2.8</v>
      </c>
      <c r="I6" s="4">
        <f t="shared" si="2"/>
        <v>2.2400000000000002</v>
      </c>
      <c r="J6" s="4">
        <f t="shared" si="3"/>
        <v>5.6</v>
      </c>
    </row>
    <row r="7" spans="1:10">
      <c r="A7" s="2">
        <v>6</v>
      </c>
      <c r="B7" s="93"/>
      <c r="C7" s="10" t="s">
        <v>17</v>
      </c>
      <c r="D7" s="2">
        <v>7</v>
      </c>
      <c r="E7" s="2">
        <v>2</v>
      </c>
      <c r="F7" s="2">
        <v>24</v>
      </c>
      <c r="G7" s="2">
        <f t="shared" si="0"/>
        <v>336</v>
      </c>
      <c r="H7" s="4">
        <f t="shared" si="1"/>
        <v>2.8</v>
      </c>
      <c r="I7" s="4">
        <f t="shared" si="2"/>
        <v>2.2400000000000002</v>
      </c>
      <c r="J7" s="4">
        <f t="shared" si="3"/>
        <v>5.6</v>
      </c>
    </row>
    <row r="8" spans="1:10">
      <c r="A8" s="2">
        <v>7</v>
      </c>
      <c r="B8" s="91" t="s">
        <v>18</v>
      </c>
      <c r="C8" s="11" t="s">
        <v>19</v>
      </c>
      <c r="D8" s="2">
        <v>7</v>
      </c>
      <c r="E8" s="2">
        <v>2</v>
      </c>
      <c r="F8" s="2">
        <v>24</v>
      </c>
      <c r="G8" s="2">
        <f t="shared" si="0"/>
        <v>336</v>
      </c>
      <c r="H8" s="4">
        <f t="shared" si="1"/>
        <v>2.8</v>
      </c>
      <c r="I8" s="4">
        <f t="shared" si="2"/>
        <v>2.2400000000000002</v>
      </c>
      <c r="J8" s="4">
        <f t="shared" si="3"/>
        <v>5.6</v>
      </c>
    </row>
    <row r="9" spans="1:10">
      <c r="A9" s="2">
        <v>8</v>
      </c>
      <c r="B9" s="93"/>
      <c r="C9" s="10" t="s">
        <v>20</v>
      </c>
      <c r="D9" s="2">
        <v>7</v>
      </c>
      <c r="E9" s="2">
        <v>2</v>
      </c>
      <c r="F9" s="2">
        <v>24</v>
      </c>
      <c r="G9" s="2">
        <f t="shared" ref="G9" si="4">F9*E9*D9</f>
        <v>336</v>
      </c>
      <c r="H9" s="4">
        <f t="shared" ref="H9" si="5">G9/($H$12*$H$13)</f>
        <v>2.8</v>
      </c>
      <c r="I9" s="4">
        <f t="shared" ref="I9" si="6">G9/($I$12*$I$13)</f>
        <v>2.2400000000000002</v>
      </c>
      <c r="J9" s="4">
        <f t="shared" ref="J9" si="7">G9/($J$12*$J$13)</f>
        <v>5.6</v>
      </c>
    </row>
    <row r="10" spans="1:10">
      <c r="C10" s="3"/>
      <c r="F10" s="89" t="s">
        <v>21</v>
      </c>
      <c r="G10" s="89"/>
      <c r="H10" s="6">
        <f>SUM(H2:H9)</f>
        <v>22.400000000000002</v>
      </c>
      <c r="I10" s="6">
        <f>SUM(I2:I9)</f>
        <v>17.920000000000002</v>
      </c>
      <c r="J10" s="6">
        <f>SUM(J2:J9)</f>
        <v>44.800000000000004</v>
      </c>
    </row>
    <row r="12" spans="1:10">
      <c r="G12" s="3" t="s">
        <v>22</v>
      </c>
      <c r="H12" s="3">
        <v>8</v>
      </c>
      <c r="I12" s="3">
        <v>10</v>
      </c>
      <c r="J12" s="3">
        <v>4</v>
      </c>
    </row>
    <row r="13" spans="1:10">
      <c r="G13" s="3" t="s">
        <v>23</v>
      </c>
      <c r="H13" s="3">
        <v>15</v>
      </c>
      <c r="I13" s="3">
        <v>15</v>
      </c>
      <c r="J13" s="3">
        <v>15</v>
      </c>
    </row>
    <row r="14" spans="1:10">
      <c r="F14" s="90" t="s">
        <v>24</v>
      </c>
      <c r="G14" s="90"/>
      <c r="H14" s="90"/>
    </row>
    <row r="18" spans="2:7">
      <c r="C18" s="5" t="s">
        <v>25</v>
      </c>
      <c r="D18" s="3">
        <v>8</v>
      </c>
    </row>
    <row r="19" spans="2:7">
      <c r="C19" s="5" t="s">
        <v>26</v>
      </c>
      <c r="D19" s="3">
        <v>336</v>
      </c>
    </row>
    <row r="20" spans="2:7">
      <c r="C20" s="5" t="s">
        <v>27</v>
      </c>
      <c r="D20" s="3">
        <f>D18*D19</f>
        <v>2688</v>
      </c>
    </row>
    <row r="21" spans="2:7">
      <c r="C21" s="5" t="s">
        <v>28</v>
      </c>
      <c r="D21" s="3">
        <v>8</v>
      </c>
    </row>
    <row r="22" spans="2:7">
      <c r="C22" s="5" t="s">
        <v>29</v>
      </c>
      <c r="D22" s="7">
        <f>(D20)/(D21*G22)</f>
        <v>22.4</v>
      </c>
      <c r="E22" s="7"/>
      <c r="G22" s="3">
        <v>15</v>
      </c>
    </row>
    <row r="23" spans="2:7">
      <c r="C23" s="5" t="s">
        <v>30</v>
      </c>
      <c r="D23" s="7">
        <f>(D20)/(D21*G23)</f>
        <v>8.4</v>
      </c>
      <c r="E23" s="7"/>
      <c r="G23" s="3">
        <v>40</v>
      </c>
    </row>
    <row r="26" spans="2:7">
      <c r="B26" s="8"/>
    </row>
    <row r="27" spans="2:7">
      <c r="B27" s="8"/>
    </row>
    <row r="28" spans="2:7">
      <c r="B28" s="8"/>
    </row>
    <row r="29" spans="2:7">
      <c r="B29" s="8"/>
    </row>
    <row r="30" spans="2:7">
      <c r="B30" s="8"/>
    </row>
    <row r="31" spans="2:7">
      <c r="C31" s="9"/>
    </row>
  </sheetData>
  <mergeCells count="5">
    <mergeCell ref="F10:G10"/>
    <mergeCell ref="F14:H14"/>
    <mergeCell ref="B2:B5"/>
    <mergeCell ref="B6:B7"/>
    <mergeCell ref="B8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BC02-1430-47FF-8BCA-916AAFADC551}">
  <dimension ref="B3:T25"/>
  <sheetViews>
    <sheetView zoomScale="85" zoomScaleNormal="85" workbookViewId="0">
      <selection activeCell="B3" sqref="B3"/>
    </sheetView>
  </sheetViews>
  <sheetFormatPr defaultColWidth="8.85546875" defaultRowHeight="15.75"/>
  <cols>
    <col min="1" max="1" width="8.85546875" style="59"/>
    <col min="2" max="2" width="3.42578125" style="59" bestFit="1" customWidth="1"/>
    <col min="3" max="3" width="24.85546875" style="59" hidden="1" customWidth="1"/>
    <col min="4" max="4" width="24.5703125" style="59" customWidth="1"/>
    <col min="5" max="5" width="23.140625" style="59" customWidth="1"/>
    <col min="6" max="6" width="8.5703125" style="59" bestFit="1" customWidth="1"/>
    <col min="7" max="8" width="11.85546875" style="59" bestFit="1" customWidth="1"/>
    <col min="9" max="9" width="8.5703125" style="59" customWidth="1"/>
    <col min="10" max="10" width="19.7109375" style="59" customWidth="1"/>
    <col min="11" max="11" width="21" style="59" hidden="1" customWidth="1"/>
    <col min="12" max="12" width="21" style="59" customWidth="1"/>
    <col min="13" max="13" width="15.140625" style="59" customWidth="1"/>
    <col min="14" max="14" width="15.42578125" style="59" customWidth="1"/>
    <col min="15" max="15" width="21" style="59" customWidth="1"/>
    <col min="16" max="16" width="18.85546875" style="59" bestFit="1" customWidth="1"/>
    <col min="17" max="17" width="14" style="59" bestFit="1" customWidth="1"/>
    <col min="18" max="18" width="18.85546875" style="59" bestFit="1" customWidth="1"/>
    <col min="19" max="19" width="14" style="59" bestFit="1" customWidth="1"/>
    <col min="20" max="20" width="8.85546875" style="59"/>
    <col min="21" max="21" width="14" style="59" bestFit="1" customWidth="1"/>
    <col min="22" max="22" width="8.85546875" style="59"/>
    <col min="23" max="23" width="18.85546875" style="59" bestFit="1" customWidth="1"/>
    <col min="24" max="24" width="14" style="59" bestFit="1" customWidth="1"/>
    <col min="25" max="25" width="8.85546875" style="59"/>
    <col min="26" max="26" width="14" style="59" bestFit="1" customWidth="1"/>
    <col min="27" max="16384" width="8.85546875" style="59"/>
  </cols>
  <sheetData>
    <row r="3" spans="2:20" ht="47.25">
      <c r="B3" s="54" t="s">
        <v>31</v>
      </c>
      <c r="C3" s="55" t="s">
        <v>1</v>
      </c>
      <c r="D3" s="56" t="s">
        <v>32</v>
      </c>
      <c r="E3" s="56" t="s">
        <v>33</v>
      </c>
      <c r="F3" s="56" t="s">
        <v>34</v>
      </c>
      <c r="G3" s="56" t="s">
        <v>35</v>
      </c>
      <c r="H3" s="56" t="s">
        <v>36</v>
      </c>
      <c r="I3" s="56" t="s">
        <v>37</v>
      </c>
      <c r="J3" s="56" t="s">
        <v>38</v>
      </c>
      <c r="K3" s="57" t="s">
        <v>39</v>
      </c>
      <c r="L3" s="56" t="s">
        <v>40</v>
      </c>
      <c r="M3" s="56" t="s">
        <v>41</v>
      </c>
      <c r="N3" s="56" t="s">
        <v>42</v>
      </c>
      <c r="O3" s="58"/>
      <c r="P3" s="99"/>
      <c r="Q3" s="99"/>
    </row>
    <row r="4" spans="2:20">
      <c r="B4" s="76">
        <v>1</v>
      </c>
      <c r="C4" s="94" t="s">
        <v>10</v>
      </c>
      <c r="D4" s="50" t="s">
        <v>11</v>
      </c>
      <c r="E4" s="50" t="s">
        <v>43</v>
      </c>
      <c r="F4" s="50">
        <v>6000</v>
      </c>
      <c r="G4" s="60">
        <v>46281</v>
      </c>
      <c r="H4" s="60">
        <v>46290</v>
      </c>
      <c r="I4" s="100">
        <v>11</v>
      </c>
      <c r="J4" s="50" t="s">
        <v>44</v>
      </c>
      <c r="K4" s="50"/>
      <c r="L4" s="60">
        <f>Q10</f>
        <v>46291</v>
      </c>
      <c r="M4" s="64" t="s">
        <v>45</v>
      </c>
      <c r="N4" s="60"/>
      <c r="O4" s="61"/>
      <c r="P4" s="62" t="s">
        <v>46</v>
      </c>
      <c r="Q4" s="1" t="s">
        <v>47</v>
      </c>
      <c r="R4" s="1" t="s">
        <v>48</v>
      </c>
      <c r="S4" s="1" t="s">
        <v>47</v>
      </c>
      <c r="T4" s="1" t="s">
        <v>48</v>
      </c>
    </row>
    <row r="5" spans="2:20">
      <c r="B5" s="104">
        <v>2</v>
      </c>
      <c r="C5" s="107"/>
      <c r="D5" s="100" t="s">
        <v>12</v>
      </c>
      <c r="E5" s="100" t="s">
        <v>43</v>
      </c>
      <c r="F5" s="100">
        <v>7000</v>
      </c>
      <c r="G5" s="102">
        <v>46281</v>
      </c>
      <c r="H5" s="102">
        <v>46290</v>
      </c>
      <c r="I5" s="106"/>
      <c r="J5" s="100" t="s">
        <v>44</v>
      </c>
      <c r="K5" s="50"/>
      <c r="L5" s="60">
        <f>Q5</f>
        <v>46284</v>
      </c>
      <c r="M5" s="64" t="s">
        <v>49</v>
      </c>
      <c r="N5" s="60"/>
      <c r="O5" s="61"/>
      <c r="P5" s="63" t="s">
        <v>12</v>
      </c>
      <c r="Q5" s="49">
        <v>46284</v>
      </c>
      <c r="R5" s="64" t="s">
        <v>50</v>
      </c>
      <c r="S5" s="48">
        <v>46266</v>
      </c>
      <c r="T5" s="64" t="s">
        <v>51</v>
      </c>
    </row>
    <row r="6" spans="2:20">
      <c r="B6" s="105"/>
      <c r="C6" s="107"/>
      <c r="D6" s="101"/>
      <c r="E6" s="101"/>
      <c r="F6" s="101"/>
      <c r="G6" s="103"/>
      <c r="H6" s="103"/>
      <c r="I6" s="106"/>
      <c r="J6" s="101"/>
      <c r="K6" s="50"/>
      <c r="L6" s="48">
        <v>46296</v>
      </c>
      <c r="M6" s="64" t="s">
        <v>45</v>
      </c>
      <c r="N6" s="60"/>
      <c r="O6" s="61"/>
      <c r="P6" s="63"/>
      <c r="Q6" s="49"/>
      <c r="R6" s="64"/>
      <c r="S6" s="48"/>
      <c r="T6" s="64"/>
    </row>
    <row r="7" spans="2:20">
      <c r="B7" s="76">
        <v>3</v>
      </c>
      <c r="C7" s="107"/>
      <c r="D7" s="50" t="s">
        <v>13</v>
      </c>
      <c r="E7" s="50" t="s">
        <v>43</v>
      </c>
      <c r="F7" s="50">
        <v>12000</v>
      </c>
      <c r="G7" s="60">
        <v>46281</v>
      </c>
      <c r="H7" s="60">
        <v>46290</v>
      </c>
      <c r="I7" s="106"/>
      <c r="J7" s="50" t="s">
        <v>44</v>
      </c>
      <c r="K7" s="50"/>
      <c r="L7" s="60">
        <f>Q8</f>
        <v>46286</v>
      </c>
      <c r="M7" s="64" t="s">
        <v>49</v>
      </c>
      <c r="N7" s="60"/>
      <c r="O7" s="61"/>
      <c r="P7" s="63" t="s">
        <v>14</v>
      </c>
      <c r="Q7" s="48">
        <v>46286</v>
      </c>
      <c r="R7" s="64" t="s">
        <v>50</v>
      </c>
      <c r="S7" s="49">
        <v>46290</v>
      </c>
      <c r="T7" s="64" t="s">
        <v>52</v>
      </c>
    </row>
    <row r="8" spans="2:20">
      <c r="B8" s="104">
        <v>4</v>
      </c>
      <c r="C8" s="95"/>
      <c r="D8" s="100" t="s">
        <v>14</v>
      </c>
      <c r="E8" s="100" t="s">
        <v>43</v>
      </c>
      <c r="F8" s="100">
        <v>8000</v>
      </c>
      <c r="G8" s="102">
        <v>46281</v>
      </c>
      <c r="H8" s="102">
        <v>46290</v>
      </c>
      <c r="I8" s="106"/>
      <c r="J8" s="100" t="s">
        <v>44</v>
      </c>
      <c r="K8" s="50"/>
      <c r="L8" s="60">
        <f>Q7</f>
        <v>46286</v>
      </c>
      <c r="M8" s="64" t="s">
        <v>49</v>
      </c>
      <c r="N8" s="60"/>
      <c r="O8" s="61"/>
      <c r="P8" s="65" t="s">
        <v>13</v>
      </c>
      <c r="Q8" s="48">
        <v>46286</v>
      </c>
      <c r="R8" s="64" t="s">
        <v>50</v>
      </c>
    </row>
    <row r="9" spans="2:20">
      <c r="B9" s="105"/>
      <c r="C9" s="77"/>
      <c r="D9" s="101"/>
      <c r="E9" s="101"/>
      <c r="F9" s="101"/>
      <c r="G9" s="103"/>
      <c r="H9" s="103"/>
      <c r="I9" s="101"/>
      <c r="J9" s="101"/>
      <c r="K9" s="50"/>
      <c r="L9" s="49">
        <v>46290</v>
      </c>
      <c r="M9" s="64" t="s">
        <v>53</v>
      </c>
      <c r="N9" s="60"/>
      <c r="O9" s="61"/>
      <c r="P9" s="65"/>
      <c r="Q9" s="48"/>
      <c r="R9" s="64"/>
    </row>
    <row r="10" spans="2:20">
      <c r="B10" s="76">
        <v>5</v>
      </c>
      <c r="C10" s="94" t="s">
        <v>15</v>
      </c>
      <c r="D10" s="50" t="s">
        <v>16</v>
      </c>
      <c r="E10" s="50" t="s">
        <v>43</v>
      </c>
      <c r="F10" s="50">
        <v>17000</v>
      </c>
      <c r="G10" s="60">
        <v>46282</v>
      </c>
      <c r="H10" s="60">
        <v>46290</v>
      </c>
      <c r="I10" s="96">
        <v>11</v>
      </c>
      <c r="J10" s="83" t="s">
        <v>54</v>
      </c>
      <c r="K10" s="50"/>
      <c r="L10" s="84"/>
      <c r="M10" s="84"/>
      <c r="N10" s="50"/>
      <c r="O10" s="66"/>
      <c r="P10" s="63" t="s">
        <v>11</v>
      </c>
      <c r="Q10" s="49">
        <v>46291</v>
      </c>
      <c r="R10" s="64" t="s">
        <v>51</v>
      </c>
    </row>
    <row r="11" spans="2:20">
      <c r="B11" s="76">
        <v>6</v>
      </c>
      <c r="C11" s="95"/>
      <c r="D11" s="50" t="s">
        <v>17</v>
      </c>
      <c r="E11" s="50" t="s">
        <v>43</v>
      </c>
      <c r="F11" s="50">
        <v>30000</v>
      </c>
      <c r="G11" s="60">
        <v>46282</v>
      </c>
      <c r="H11" s="60">
        <v>46290</v>
      </c>
      <c r="I11" s="96"/>
      <c r="J11" s="83" t="s">
        <v>54</v>
      </c>
      <c r="K11" s="50"/>
      <c r="L11" s="84"/>
      <c r="M11" s="84"/>
      <c r="N11" s="50"/>
      <c r="O11" s="66"/>
      <c r="P11" s="66"/>
    </row>
    <row r="12" spans="2:20">
      <c r="B12" s="76">
        <v>7</v>
      </c>
      <c r="C12" s="94" t="s">
        <v>18</v>
      </c>
      <c r="D12" s="50" t="s">
        <v>19</v>
      </c>
      <c r="E12" s="50" t="s">
        <v>55</v>
      </c>
      <c r="F12" s="50">
        <v>25000</v>
      </c>
      <c r="G12" s="60">
        <v>46295</v>
      </c>
      <c r="H12" s="50" t="s">
        <v>56</v>
      </c>
      <c r="I12" s="96">
        <v>11</v>
      </c>
      <c r="J12" s="78" t="s">
        <v>57</v>
      </c>
      <c r="K12" s="60">
        <v>46294</v>
      </c>
      <c r="L12" s="60">
        <v>46300</v>
      </c>
      <c r="M12" s="47"/>
      <c r="N12" s="47" t="s">
        <v>58</v>
      </c>
      <c r="O12" s="61"/>
    </row>
    <row r="13" spans="2:20">
      <c r="B13" s="76">
        <v>8</v>
      </c>
      <c r="C13" s="95"/>
      <c r="D13" s="50" t="s">
        <v>20</v>
      </c>
      <c r="E13" s="50" t="s">
        <v>55</v>
      </c>
      <c r="F13" s="50">
        <v>17000</v>
      </c>
      <c r="G13" s="60">
        <v>46295</v>
      </c>
      <c r="H13" s="50" t="s">
        <v>56</v>
      </c>
      <c r="I13" s="96"/>
      <c r="J13" s="78" t="s">
        <v>57</v>
      </c>
      <c r="K13" s="60">
        <v>46294</v>
      </c>
      <c r="L13" s="60">
        <v>46300</v>
      </c>
      <c r="M13" s="47"/>
      <c r="N13" s="47" t="s">
        <v>59</v>
      </c>
      <c r="O13" s="61"/>
    </row>
    <row r="14" spans="2:20"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</row>
    <row r="15" spans="2:20" ht="49.5">
      <c r="B15" s="54" t="s">
        <v>31</v>
      </c>
      <c r="C15" s="67" t="s">
        <v>60</v>
      </c>
      <c r="D15" s="68" t="s">
        <v>32</v>
      </c>
      <c r="E15" s="68" t="s">
        <v>61</v>
      </c>
      <c r="F15" s="68" t="s">
        <v>62</v>
      </c>
      <c r="G15" s="68" t="s">
        <v>63</v>
      </c>
      <c r="H15" s="69" t="s">
        <v>36</v>
      </c>
      <c r="I15" s="68" t="s">
        <v>3</v>
      </c>
      <c r="J15" s="68"/>
      <c r="K15" s="68"/>
      <c r="L15" s="68"/>
      <c r="M15" s="68"/>
      <c r="N15" s="68"/>
      <c r="O15" s="70"/>
      <c r="P15" s="71"/>
    </row>
    <row r="16" spans="2:20" ht="16.5">
      <c r="B16" s="79">
        <v>1</v>
      </c>
      <c r="C16" s="97" t="s">
        <v>64</v>
      </c>
      <c r="D16" s="75" t="s">
        <v>65</v>
      </c>
      <c r="E16" s="75" t="s">
        <v>66</v>
      </c>
      <c r="F16" s="75">
        <v>17000</v>
      </c>
      <c r="G16" s="72">
        <v>46287</v>
      </c>
      <c r="H16" s="72">
        <v>46294</v>
      </c>
      <c r="I16" s="75" t="s">
        <v>67</v>
      </c>
      <c r="J16" s="50" t="s">
        <v>44</v>
      </c>
      <c r="K16" s="72">
        <v>46291</v>
      </c>
      <c r="L16" s="72">
        <v>46298</v>
      </c>
      <c r="M16" s="75"/>
      <c r="N16" s="75" t="s">
        <v>68</v>
      </c>
      <c r="O16" s="73"/>
      <c r="P16" s="74"/>
    </row>
    <row r="17" spans="2:18" ht="16.5">
      <c r="B17" s="79">
        <v>2</v>
      </c>
      <c r="C17" s="98"/>
      <c r="D17" s="75" t="s">
        <v>69</v>
      </c>
      <c r="E17" s="75" t="s">
        <v>66</v>
      </c>
      <c r="F17" s="75">
        <v>22000</v>
      </c>
      <c r="G17" s="72">
        <v>46287</v>
      </c>
      <c r="H17" s="72">
        <v>46294</v>
      </c>
      <c r="I17" s="75" t="s">
        <v>67</v>
      </c>
      <c r="J17" s="50" t="s">
        <v>44</v>
      </c>
      <c r="K17" s="72">
        <v>46291</v>
      </c>
      <c r="L17" s="72">
        <v>46298</v>
      </c>
      <c r="M17" s="75"/>
      <c r="N17" s="75" t="s">
        <v>68</v>
      </c>
      <c r="O17" s="73"/>
      <c r="P17" s="74"/>
    </row>
    <row r="18" spans="2:18" ht="16.5">
      <c r="B18" s="79">
        <v>3</v>
      </c>
      <c r="C18" s="80" t="s">
        <v>70</v>
      </c>
      <c r="D18" s="75" t="s">
        <v>71</v>
      </c>
      <c r="E18" s="75" t="s">
        <v>66</v>
      </c>
      <c r="F18" s="75">
        <v>5500</v>
      </c>
      <c r="G18" s="72">
        <v>46287</v>
      </c>
      <c r="H18" s="72">
        <v>46294</v>
      </c>
      <c r="I18" s="75" t="s">
        <v>67</v>
      </c>
      <c r="J18" s="78" t="s">
        <v>57</v>
      </c>
      <c r="K18" s="72">
        <v>46291</v>
      </c>
      <c r="L18" s="72">
        <v>46300</v>
      </c>
      <c r="M18" s="75"/>
      <c r="N18" s="75" t="s">
        <v>72</v>
      </c>
      <c r="O18" s="73"/>
      <c r="P18" s="74"/>
    </row>
    <row r="19" spans="2:18" ht="33">
      <c r="B19" s="79">
        <v>4</v>
      </c>
      <c r="C19" s="80" t="s">
        <v>73</v>
      </c>
      <c r="D19" s="75" t="s">
        <v>74</v>
      </c>
      <c r="E19" s="81" t="s">
        <v>75</v>
      </c>
      <c r="F19" s="75">
        <v>20000</v>
      </c>
      <c r="G19" s="72">
        <v>46290</v>
      </c>
      <c r="H19" s="72">
        <v>46295</v>
      </c>
      <c r="I19" s="75" t="s">
        <v>67</v>
      </c>
      <c r="J19" s="82" t="s">
        <v>54</v>
      </c>
      <c r="K19" s="75"/>
      <c r="L19" s="75"/>
      <c r="M19" s="75"/>
      <c r="N19" s="75"/>
      <c r="O19" s="74"/>
      <c r="P19" s="74"/>
    </row>
    <row r="22" spans="2:18">
      <c r="R22" s="50"/>
    </row>
    <row r="23" spans="2:18">
      <c r="D23" s="59" t="s">
        <v>76</v>
      </c>
      <c r="R23" s="2"/>
    </row>
    <row r="24" spans="2:18">
      <c r="R24" s="50"/>
    </row>
    <row r="25" spans="2:18">
      <c r="R25" s="50"/>
    </row>
  </sheetData>
  <mergeCells count="22">
    <mergeCell ref="B5:B6"/>
    <mergeCell ref="B8:B9"/>
    <mergeCell ref="E8:E9"/>
    <mergeCell ref="D8:D9"/>
    <mergeCell ref="I4:I9"/>
    <mergeCell ref="C4:C8"/>
    <mergeCell ref="D5:D6"/>
    <mergeCell ref="E5:E6"/>
    <mergeCell ref="F5:F6"/>
    <mergeCell ref="G5:G6"/>
    <mergeCell ref="H5:H6"/>
    <mergeCell ref="P3:Q3"/>
    <mergeCell ref="J8:J9"/>
    <mergeCell ref="H8:H9"/>
    <mergeCell ref="G8:G9"/>
    <mergeCell ref="F8:F9"/>
    <mergeCell ref="J5:J6"/>
    <mergeCell ref="C10:C11"/>
    <mergeCell ref="I10:I11"/>
    <mergeCell ref="C12:C13"/>
    <mergeCell ref="I12:I13"/>
    <mergeCell ref="C16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F43D-E919-4482-97CF-9C8E19DACA3B}">
  <dimension ref="A1:AG61"/>
  <sheetViews>
    <sheetView topLeftCell="AB39" workbookViewId="0">
      <selection activeCell="AC55" sqref="AC55"/>
    </sheetView>
  </sheetViews>
  <sheetFormatPr defaultRowHeight="15"/>
  <cols>
    <col min="1" max="1" width="4.42578125" hidden="1" customWidth="1"/>
    <col min="2" max="2" width="20.85546875" bestFit="1" customWidth="1"/>
    <col min="3" max="3" width="18.85546875" customWidth="1"/>
    <col min="4" max="4" width="26.28515625" customWidth="1"/>
    <col min="5" max="5" width="15.85546875" hidden="1" customWidth="1"/>
    <col min="6" max="6" width="16.42578125" bestFit="1" customWidth="1"/>
    <col min="7" max="7" width="12.7109375" hidden="1" customWidth="1"/>
    <col min="8" max="8" width="14" bestFit="1" customWidth="1"/>
    <col min="9" max="9" width="12.7109375" hidden="1" customWidth="1"/>
    <col min="10" max="10" width="12.7109375" customWidth="1"/>
    <col min="11" max="11" width="18.85546875" bestFit="1" customWidth="1"/>
    <col min="12" max="12" width="13.85546875" bestFit="1" customWidth="1"/>
    <col min="13" max="13" width="13.85546875" customWidth="1"/>
    <col min="16" max="16" width="18.85546875" bestFit="1" customWidth="1"/>
    <col min="17" max="17" width="13.42578125" bestFit="1" customWidth="1"/>
    <col min="18" max="18" width="27.85546875" bestFit="1" customWidth="1"/>
    <col min="19" max="19" width="9.5703125" bestFit="1" customWidth="1"/>
    <col min="21" max="21" width="16.42578125" bestFit="1" customWidth="1"/>
    <col min="22" max="22" width="18.7109375" bestFit="1" customWidth="1"/>
    <col min="23" max="23" width="18.7109375" customWidth="1"/>
    <col min="24" max="24" width="27.85546875" bestFit="1" customWidth="1"/>
    <col min="25" max="25" width="17.42578125" customWidth="1"/>
    <col min="26" max="26" width="17.42578125" bestFit="1" customWidth="1"/>
    <col min="28" max="28" width="18.7109375" bestFit="1" customWidth="1"/>
    <col min="29" max="29" width="13.42578125" bestFit="1" customWidth="1"/>
    <col min="30" max="30" width="10.140625" bestFit="1" customWidth="1"/>
    <col min="31" max="31" width="28.7109375" customWidth="1"/>
  </cols>
  <sheetData>
    <row r="1" spans="1:31">
      <c r="Y1" s="120" t="s">
        <v>77</v>
      </c>
      <c r="Z1" s="120"/>
      <c r="AC1" s="111" t="s">
        <v>77</v>
      </c>
      <c r="AD1" s="111"/>
    </row>
    <row r="2" spans="1:31">
      <c r="O2" s="110">
        <v>46281</v>
      </c>
      <c r="P2" s="111"/>
      <c r="Q2" s="111"/>
      <c r="R2" s="111"/>
      <c r="S2" s="111"/>
      <c r="V2" s="12" t="s">
        <v>46</v>
      </c>
      <c r="W2" s="12" t="s">
        <v>78</v>
      </c>
      <c r="X2" s="26" t="s">
        <v>79</v>
      </c>
      <c r="Y2" s="14" t="s">
        <v>80</v>
      </c>
      <c r="Z2" s="14" t="s">
        <v>5</v>
      </c>
      <c r="AB2" s="12" t="s">
        <v>46</v>
      </c>
      <c r="AC2" s="12" t="s">
        <v>78</v>
      </c>
      <c r="AD2" s="12" t="s">
        <v>80</v>
      </c>
      <c r="AE2" s="12" t="s">
        <v>5</v>
      </c>
    </row>
    <row r="3" spans="1:31">
      <c r="A3" s="12" t="s">
        <v>81</v>
      </c>
      <c r="B3" s="12" t="s">
        <v>46</v>
      </c>
      <c r="C3" s="12" t="s">
        <v>78</v>
      </c>
      <c r="D3" s="13" t="s">
        <v>82</v>
      </c>
      <c r="E3" s="13" t="s">
        <v>83</v>
      </c>
      <c r="F3" s="13" t="s">
        <v>84</v>
      </c>
      <c r="G3" s="16" t="s">
        <v>85</v>
      </c>
      <c r="H3" s="12" t="s">
        <v>47</v>
      </c>
      <c r="I3" s="12" t="s">
        <v>86</v>
      </c>
      <c r="J3" s="52"/>
      <c r="K3" s="12" t="s">
        <v>46</v>
      </c>
      <c r="L3" s="12" t="s">
        <v>47</v>
      </c>
      <c r="M3" s="12" t="s">
        <v>87</v>
      </c>
      <c r="O3" s="12" t="s">
        <v>88</v>
      </c>
      <c r="P3" s="12" t="s">
        <v>46</v>
      </c>
      <c r="Q3" s="12" t="s">
        <v>78</v>
      </c>
      <c r="R3" s="13" t="s">
        <v>79</v>
      </c>
      <c r="S3" s="13" t="s">
        <v>89</v>
      </c>
      <c r="V3" s="109" t="s">
        <v>12</v>
      </c>
      <c r="W3" s="15" t="s">
        <v>90</v>
      </c>
      <c r="X3" s="117" t="s">
        <v>91</v>
      </c>
      <c r="Y3" s="14"/>
      <c r="Z3" s="14"/>
      <c r="AB3" s="108" t="s">
        <v>13</v>
      </c>
      <c r="AC3" s="23" t="s">
        <v>92</v>
      </c>
      <c r="AD3" s="21">
        <v>46279</v>
      </c>
      <c r="AE3" s="14">
        <v>23</v>
      </c>
    </row>
    <row r="4" spans="1:31" ht="15.75">
      <c r="A4" s="108">
        <v>1</v>
      </c>
      <c r="B4" s="109" t="s">
        <v>12</v>
      </c>
      <c r="C4" s="15" t="s">
        <v>93</v>
      </c>
      <c r="D4" s="17" t="s">
        <v>94</v>
      </c>
      <c r="E4" s="112" t="s">
        <v>95</v>
      </c>
      <c r="F4" s="119">
        <v>46280</v>
      </c>
      <c r="G4" s="121">
        <v>1.9444444444444445E-2</v>
      </c>
      <c r="H4" s="119">
        <f>L4</f>
        <v>46284</v>
      </c>
      <c r="I4" s="108">
        <f>H4-F4</f>
        <v>4</v>
      </c>
      <c r="J4" s="53"/>
      <c r="K4" s="15" t="s">
        <v>12</v>
      </c>
      <c r="L4" s="21">
        <v>46284</v>
      </c>
      <c r="M4" s="18" t="s">
        <v>50</v>
      </c>
      <c r="O4" s="108">
        <v>1</v>
      </c>
      <c r="P4" s="109" t="s">
        <v>12</v>
      </c>
      <c r="Q4" s="15" t="s">
        <v>93</v>
      </c>
      <c r="R4" s="23" t="s">
        <v>96</v>
      </c>
      <c r="S4" s="23">
        <v>31</v>
      </c>
      <c r="V4" s="109"/>
      <c r="W4" s="15" t="s">
        <v>93</v>
      </c>
      <c r="X4" s="118"/>
      <c r="Y4" s="14"/>
      <c r="Z4" s="14"/>
      <c r="AB4" s="108"/>
      <c r="AC4" s="108" t="s">
        <v>97</v>
      </c>
      <c r="AD4" s="21">
        <v>46278</v>
      </c>
      <c r="AE4" s="14" t="s">
        <v>98</v>
      </c>
    </row>
    <row r="5" spans="1:31" ht="15.75">
      <c r="A5" s="108"/>
      <c r="B5" s="109"/>
      <c r="C5" s="15" t="s">
        <v>90</v>
      </c>
      <c r="D5" s="17" t="s">
        <v>99</v>
      </c>
      <c r="E5" s="112"/>
      <c r="F5" s="119"/>
      <c r="G5" s="108"/>
      <c r="H5" s="108"/>
      <c r="I5" s="108"/>
      <c r="J5" s="53"/>
      <c r="K5" s="15" t="s">
        <v>14</v>
      </c>
      <c r="L5" s="40">
        <v>46286</v>
      </c>
      <c r="M5" s="18" t="s">
        <v>50</v>
      </c>
      <c r="O5" s="108"/>
      <c r="P5" s="109"/>
      <c r="Q5" s="15" t="s">
        <v>90</v>
      </c>
      <c r="R5" s="23" t="s">
        <v>96</v>
      </c>
      <c r="S5" s="23">
        <v>31</v>
      </c>
      <c r="V5" s="109" t="s">
        <v>14</v>
      </c>
      <c r="W5" s="15" t="s">
        <v>90</v>
      </c>
      <c r="X5" s="117" t="s">
        <v>100</v>
      </c>
      <c r="Y5" s="14"/>
      <c r="Z5" s="14"/>
      <c r="AB5" s="108"/>
      <c r="AC5" s="108"/>
      <c r="AD5" s="21">
        <v>46279</v>
      </c>
      <c r="AE5" s="14" t="s">
        <v>101</v>
      </c>
    </row>
    <row r="6" spans="1:31" ht="15.75">
      <c r="A6" s="14">
        <v>2</v>
      </c>
      <c r="B6" s="15" t="s">
        <v>11</v>
      </c>
      <c r="C6" s="15" t="s">
        <v>102</v>
      </c>
      <c r="D6" s="2" t="s">
        <v>103</v>
      </c>
      <c r="E6" s="112" t="s">
        <v>95</v>
      </c>
      <c r="F6" s="119">
        <v>46280</v>
      </c>
      <c r="G6" s="19">
        <v>0.53749999999999998</v>
      </c>
      <c r="H6" s="21">
        <v>46291</v>
      </c>
      <c r="I6" s="14">
        <f>H6-F6</f>
        <v>11</v>
      </c>
      <c r="J6" s="53"/>
      <c r="K6" s="14" t="s">
        <v>13</v>
      </c>
      <c r="L6" s="40">
        <v>46286</v>
      </c>
      <c r="M6" s="18" t="s">
        <v>50</v>
      </c>
      <c r="O6" s="108">
        <v>2</v>
      </c>
      <c r="P6" s="109" t="s">
        <v>14</v>
      </c>
      <c r="Q6" s="15" t="s">
        <v>90</v>
      </c>
      <c r="R6" s="23" t="s">
        <v>104</v>
      </c>
      <c r="S6" s="23">
        <v>55</v>
      </c>
      <c r="V6" s="109"/>
      <c r="W6" s="15" t="s">
        <v>93</v>
      </c>
      <c r="X6" s="118"/>
      <c r="Y6" s="14"/>
      <c r="Z6" s="14"/>
      <c r="AB6" s="108"/>
      <c r="AC6" s="108"/>
      <c r="AD6" s="21">
        <v>46278</v>
      </c>
      <c r="AE6" s="125" t="s">
        <v>105</v>
      </c>
    </row>
    <row r="7" spans="1:31" ht="15.75">
      <c r="A7" s="23"/>
      <c r="B7" s="15" t="s">
        <v>12</v>
      </c>
      <c r="C7" s="15" t="s">
        <v>90</v>
      </c>
      <c r="D7" s="2" t="s">
        <v>106</v>
      </c>
      <c r="E7" s="112"/>
      <c r="F7" s="119"/>
      <c r="G7" s="19">
        <v>0.62916666666666665</v>
      </c>
      <c r="H7" s="21">
        <v>46284</v>
      </c>
      <c r="I7" s="14">
        <f>H7-F6</f>
        <v>4</v>
      </c>
      <c r="J7" s="53"/>
      <c r="K7" s="15" t="s">
        <v>14</v>
      </c>
      <c r="L7" s="21">
        <v>46290</v>
      </c>
      <c r="M7" s="18" t="s">
        <v>52</v>
      </c>
      <c r="O7" s="108"/>
      <c r="P7" s="109"/>
      <c r="Q7" s="15" t="s">
        <v>93</v>
      </c>
      <c r="R7" s="23" t="s">
        <v>104</v>
      </c>
      <c r="S7" s="23">
        <v>55</v>
      </c>
      <c r="V7" s="108" t="s">
        <v>13</v>
      </c>
      <c r="W7" s="23" t="s">
        <v>92</v>
      </c>
      <c r="X7" s="27" t="s">
        <v>107</v>
      </c>
      <c r="Y7" s="21">
        <v>46279</v>
      </c>
      <c r="Z7" s="14">
        <v>23</v>
      </c>
      <c r="AB7" s="108"/>
      <c r="AC7" s="108"/>
      <c r="AD7" s="21">
        <v>46279</v>
      </c>
      <c r="AE7" s="125"/>
    </row>
    <row r="8" spans="1:31" s="22" customFormat="1" ht="15.75">
      <c r="A8" s="14">
        <v>3</v>
      </c>
      <c r="B8" s="15" t="s">
        <v>14</v>
      </c>
      <c r="C8" s="15" t="s">
        <v>93</v>
      </c>
      <c r="D8" s="2" t="s">
        <v>108</v>
      </c>
      <c r="E8" s="14" t="s">
        <v>95</v>
      </c>
      <c r="F8" s="21">
        <v>46281</v>
      </c>
      <c r="G8" s="18">
        <v>2.4305555555555556E-2</v>
      </c>
      <c r="H8" s="40">
        <v>46286</v>
      </c>
      <c r="I8" s="14">
        <f>H8-F8</f>
        <v>5</v>
      </c>
      <c r="K8" s="15" t="s">
        <v>11</v>
      </c>
      <c r="L8" s="21">
        <v>46291</v>
      </c>
      <c r="M8" s="18" t="s">
        <v>51</v>
      </c>
      <c r="O8" s="108">
        <v>3</v>
      </c>
      <c r="P8" s="109" t="s">
        <v>11</v>
      </c>
      <c r="Q8" s="15" t="s">
        <v>102</v>
      </c>
      <c r="R8" s="23" t="s">
        <v>109</v>
      </c>
      <c r="S8" s="14">
        <v>32</v>
      </c>
      <c r="V8" s="108"/>
      <c r="W8" s="126" t="s">
        <v>97</v>
      </c>
      <c r="X8" s="27"/>
      <c r="Y8" s="31">
        <v>46278</v>
      </c>
      <c r="Z8" s="32" t="s">
        <v>98</v>
      </c>
    </row>
    <row r="9" spans="1:31" ht="15.75">
      <c r="A9" s="23"/>
      <c r="B9" s="15" t="s">
        <v>11</v>
      </c>
      <c r="C9" s="15" t="s">
        <v>102</v>
      </c>
      <c r="D9" s="2" t="s">
        <v>110</v>
      </c>
      <c r="E9" s="14" t="s">
        <v>95</v>
      </c>
      <c r="F9" s="21">
        <v>46281</v>
      </c>
      <c r="G9" s="18">
        <v>4.1666666666666664E-2</v>
      </c>
      <c r="H9" s="21">
        <v>46291</v>
      </c>
      <c r="I9" s="18"/>
      <c r="J9" s="37"/>
      <c r="K9" s="15" t="s">
        <v>12</v>
      </c>
      <c r="L9" s="40">
        <v>46266</v>
      </c>
      <c r="M9" s="18" t="s">
        <v>51</v>
      </c>
      <c r="O9" s="108"/>
      <c r="P9" s="109"/>
      <c r="Q9" s="23"/>
      <c r="R9" s="23"/>
      <c r="S9" s="23"/>
      <c r="V9" s="109" t="s">
        <v>11</v>
      </c>
      <c r="W9" s="127"/>
      <c r="X9" s="28"/>
      <c r="Y9" s="31">
        <v>46279</v>
      </c>
      <c r="Z9" s="33" t="s">
        <v>101</v>
      </c>
    </row>
    <row r="10" spans="1:31" ht="15.75">
      <c r="A10" s="23"/>
      <c r="B10" s="109" t="s">
        <v>14</v>
      </c>
      <c r="C10" s="15" t="s">
        <v>93</v>
      </c>
      <c r="D10" s="2" t="s">
        <v>111</v>
      </c>
      <c r="E10" s="23" t="s">
        <v>95</v>
      </c>
      <c r="F10" s="21">
        <v>46281</v>
      </c>
      <c r="G10" s="19">
        <v>0.66666666666666663</v>
      </c>
      <c r="H10" s="119">
        <v>46286</v>
      </c>
      <c r="I10" s="108">
        <f>H10-F12</f>
        <v>5</v>
      </c>
      <c r="J10" s="22"/>
      <c r="L10" s="38"/>
      <c r="M10" s="38"/>
      <c r="S10" s="24">
        <f>SUM(S4:S8)</f>
        <v>204</v>
      </c>
      <c r="V10" s="109"/>
      <c r="W10" s="15" t="s">
        <v>102</v>
      </c>
      <c r="X10" s="27" t="s">
        <v>112</v>
      </c>
      <c r="Y10" s="14"/>
      <c r="Z10" s="14"/>
    </row>
    <row r="11" spans="1:31">
      <c r="A11" s="23"/>
      <c r="B11" s="109"/>
      <c r="C11" s="15" t="s">
        <v>90</v>
      </c>
      <c r="D11" s="23" t="s">
        <v>104</v>
      </c>
      <c r="E11" s="23" t="s">
        <v>95</v>
      </c>
      <c r="F11" s="21">
        <v>46281</v>
      </c>
      <c r="G11" s="19">
        <v>0.76736111111111116</v>
      </c>
      <c r="H11" s="119"/>
      <c r="I11" s="108"/>
      <c r="J11" s="22"/>
      <c r="K11" s="38"/>
      <c r="L11" s="38"/>
      <c r="M11" s="38"/>
      <c r="W11" s="15"/>
      <c r="X11" s="27"/>
      <c r="Y11" s="20"/>
      <c r="Z11" s="20"/>
    </row>
    <row r="12" spans="1:31">
      <c r="A12" s="23"/>
      <c r="B12" s="109" t="s">
        <v>14</v>
      </c>
      <c r="C12" s="15" t="s">
        <v>90</v>
      </c>
      <c r="D12" s="14" t="s">
        <v>113</v>
      </c>
      <c r="E12" s="108" t="s">
        <v>95</v>
      </c>
      <c r="F12" s="119">
        <v>46281</v>
      </c>
      <c r="G12" s="108" t="s">
        <v>114</v>
      </c>
      <c r="H12" s="119"/>
      <c r="I12" s="108"/>
      <c r="J12" s="22"/>
      <c r="K12" s="22"/>
      <c r="L12" s="22"/>
      <c r="M12" s="22"/>
      <c r="O12" s="110">
        <v>46282</v>
      </c>
      <c r="P12" s="111"/>
      <c r="Q12" s="111"/>
      <c r="R12" s="111"/>
      <c r="S12" s="111"/>
    </row>
    <row r="13" spans="1:31">
      <c r="A13" s="23"/>
      <c r="B13" s="109"/>
      <c r="C13" s="15" t="s">
        <v>93</v>
      </c>
      <c r="D13" s="14" t="s">
        <v>115</v>
      </c>
      <c r="E13" s="108"/>
      <c r="F13" s="119"/>
      <c r="G13" s="108"/>
      <c r="H13" s="119"/>
      <c r="I13" s="108"/>
      <c r="J13" s="22"/>
      <c r="K13" s="22"/>
      <c r="L13" s="22"/>
      <c r="M13" s="22"/>
      <c r="O13" s="12" t="s">
        <v>88</v>
      </c>
      <c r="P13" s="12" t="s">
        <v>46</v>
      </c>
      <c r="Q13" s="12" t="s">
        <v>78</v>
      </c>
      <c r="R13" s="13" t="s">
        <v>79</v>
      </c>
      <c r="S13" s="13" t="s">
        <v>89</v>
      </c>
    </row>
    <row r="14" spans="1:31">
      <c r="A14" s="23"/>
      <c r="B14" s="14" t="s">
        <v>13</v>
      </c>
      <c r="C14" s="14" t="s">
        <v>97</v>
      </c>
      <c r="D14" s="14" t="s">
        <v>116</v>
      </c>
      <c r="E14" s="108"/>
      <c r="F14" s="119"/>
      <c r="G14" s="108"/>
      <c r="H14" s="119"/>
      <c r="I14" s="108"/>
      <c r="J14" s="22"/>
      <c r="K14" s="22"/>
      <c r="L14" s="22"/>
      <c r="M14" s="22"/>
      <c r="O14" s="108">
        <v>1</v>
      </c>
      <c r="P14" s="109" t="s">
        <v>14</v>
      </c>
      <c r="Q14" s="15" t="s">
        <v>90</v>
      </c>
      <c r="R14" s="14" t="s">
        <v>113</v>
      </c>
      <c r="S14" s="14">
        <v>16</v>
      </c>
      <c r="V14" s="12" t="s">
        <v>46</v>
      </c>
      <c r="W14" s="12" t="s">
        <v>78</v>
      </c>
      <c r="X14" s="26" t="s">
        <v>79</v>
      </c>
      <c r="Y14" s="14" t="s">
        <v>80</v>
      </c>
      <c r="Z14" s="14" t="s">
        <v>5</v>
      </c>
    </row>
    <row r="15" spans="1:31">
      <c r="A15" s="23"/>
      <c r="B15" s="109" t="s">
        <v>12</v>
      </c>
      <c r="C15" s="15" t="s">
        <v>90</v>
      </c>
      <c r="D15" s="14" t="s">
        <v>117</v>
      </c>
      <c r="E15" s="108" t="s">
        <v>95</v>
      </c>
      <c r="F15" s="119">
        <v>46283</v>
      </c>
      <c r="G15" s="108" t="s">
        <v>118</v>
      </c>
      <c r="H15" s="119"/>
      <c r="I15" s="108"/>
      <c r="J15" s="22"/>
      <c r="K15" s="22"/>
      <c r="L15" s="22"/>
      <c r="M15" s="22"/>
      <c r="O15" s="108"/>
      <c r="P15" s="109"/>
      <c r="Q15" s="15" t="s">
        <v>93</v>
      </c>
      <c r="R15" s="14" t="s">
        <v>115</v>
      </c>
      <c r="S15" s="14">
        <v>18</v>
      </c>
      <c r="V15" s="109" t="s">
        <v>12</v>
      </c>
      <c r="W15" s="15" t="s">
        <v>90</v>
      </c>
      <c r="X15" s="30" t="s">
        <v>119</v>
      </c>
      <c r="Y15" s="14"/>
      <c r="Z15" s="14"/>
    </row>
    <row r="16" spans="1:31">
      <c r="A16" s="23"/>
      <c r="B16" s="109"/>
      <c r="C16" s="15" t="s">
        <v>93</v>
      </c>
      <c r="D16" s="14" t="s">
        <v>117</v>
      </c>
      <c r="E16" s="108"/>
      <c r="F16" s="119"/>
      <c r="G16" s="108"/>
      <c r="H16" s="119"/>
      <c r="I16" s="108"/>
      <c r="J16" s="22"/>
      <c r="K16" s="22"/>
      <c r="L16" s="22"/>
      <c r="M16" s="22"/>
      <c r="O16" s="14">
        <v>2</v>
      </c>
      <c r="P16" s="14" t="s">
        <v>13</v>
      </c>
      <c r="Q16" s="14" t="s">
        <v>97</v>
      </c>
      <c r="R16" s="14" t="s">
        <v>116</v>
      </c>
      <c r="S16" s="14">
        <v>13</v>
      </c>
      <c r="V16" s="109"/>
      <c r="W16" s="15" t="s">
        <v>93</v>
      </c>
      <c r="X16" s="30" t="s">
        <v>120</v>
      </c>
      <c r="Y16" s="14"/>
      <c r="Z16" s="14"/>
    </row>
    <row r="17" spans="1:33" ht="18.75">
      <c r="A17" s="23"/>
      <c r="B17" s="108" t="s">
        <v>13</v>
      </c>
      <c r="C17" s="14" t="s">
        <v>97</v>
      </c>
      <c r="D17" s="14" t="s">
        <v>121</v>
      </c>
      <c r="E17" s="108"/>
      <c r="F17" s="119"/>
      <c r="G17" s="108"/>
      <c r="H17" s="119"/>
      <c r="I17" s="108"/>
      <c r="J17" s="22"/>
      <c r="K17" s="22"/>
      <c r="L17" s="22"/>
      <c r="M17" s="22"/>
      <c r="V17" s="109" t="s">
        <v>14</v>
      </c>
      <c r="W17" s="15" t="s">
        <v>90</v>
      </c>
      <c r="X17" s="117" t="s">
        <v>122</v>
      </c>
      <c r="Y17" s="14"/>
      <c r="Z17" s="14"/>
      <c r="AB17" s="114" t="s">
        <v>44</v>
      </c>
      <c r="AC17" s="115"/>
      <c r="AD17" s="115"/>
      <c r="AE17" s="115"/>
      <c r="AF17" s="115"/>
      <c r="AG17" s="116"/>
    </row>
    <row r="18" spans="1:33">
      <c r="A18" s="23"/>
      <c r="B18" s="108"/>
      <c r="C18" s="23" t="s">
        <v>92</v>
      </c>
      <c r="D18" s="14" t="s">
        <v>123</v>
      </c>
      <c r="E18" s="108"/>
      <c r="F18" s="119"/>
      <c r="G18" s="108"/>
      <c r="H18" s="119"/>
      <c r="I18" s="108"/>
      <c r="J18" s="22"/>
      <c r="K18" s="22"/>
      <c r="L18" s="22"/>
      <c r="M18" s="22"/>
      <c r="O18" s="110">
        <v>46283</v>
      </c>
      <c r="P18" s="111"/>
      <c r="Q18" s="111"/>
      <c r="R18" s="111"/>
      <c r="S18" s="111"/>
      <c r="V18" s="109"/>
      <c r="W18" s="15" t="s">
        <v>93</v>
      </c>
      <c r="X18" s="118"/>
      <c r="Y18" s="14"/>
      <c r="Z18" s="14"/>
      <c r="AB18" s="12" t="s">
        <v>46</v>
      </c>
      <c r="AC18" s="12" t="s">
        <v>78</v>
      </c>
      <c r="AD18" s="36" t="s">
        <v>80</v>
      </c>
      <c r="AE18" s="36" t="s">
        <v>5</v>
      </c>
      <c r="AF18" s="36" t="s">
        <v>124</v>
      </c>
      <c r="AG18" s="36" t="s">
        <v>125</v>
      </c>
    </row>
    <row r="19" spans="1:33">
      <c r="A19" s="23"/>
      <c r="B19" s="109" t="s">
        <v>14</v>
      </c>
      <c r="C19" s="15" t="s">
        <v>90</v>
      </c>
      <c r="D19" s="14" t="s">
        <v>126</v>
      </c>
      <c r="E19" s="108"/>
      <c r="F19" s="119"/>
      <c r="G19" s="108"/>
      <c r="H19" s="119"/>
      <c r="I19" s="108"/>
      <c r="J19" s="22"/>
      <c r="K19" s="22"/>
      <c r="L19" s="22"/>
      <c r="M19" s="22"/>
      <c r="O19" s="12" t="s">
        <v>88</v>
      </c>
      <c r="P19" s="12" t="s">
        <v>46</v>
      </c>
      <c r="Q19" s="12" t="s">
        <v>78</v>
      </c>
      <c r="R19" s="13" t="s">
        <v>79</v>
      </c>
      <c r="S19" s="13" t="s">
        <v>89</v>
      </c>
      <c r="V19" s="108" t="s">
        <v>13</v>
      </c>
      <c r="W19" s="23" t="s">
        <v>92</v>
      </c>
      <c r="X19" s="27" t="s">
        <v>127</v>
      </c>
      <c r="Y19" s="21"/>
      <c r="Z19" s="14"/>
      <c r="AB19" s="108" t="s">
        <v>13</v>
      </c>
      <c r="AC19" s="108" t="s">
        <v>92</v>
      </c>
      <c r="AD19" s="40">
        <v>46281</v>
      </c>
      <c r="AE19" s="23" t="s">
        <v>128</v>
      </c>
      <c r="AF19" s="23">
        <v>19</v>
      </c>
      <c r="AG19" s="113">
        <v>31</v>
      </c>
    </row>
    <row r="20" spans="1:33">
      <c r="A20" s="23"/>
      <c r="B20" s="109"/>
      <c r="C20" s="15" t="s">
        <v>93</v>
      </c>
      <c r="D20" s="14" t="s">
        <v>126</v>
      </c>
      <c r="E20" s="108"/>
      <c r="F20" s="119"/>
      <c r="G20" s="108"/>
      <c r="H20" s="119"/>
      <c r="I20" s="108"/>
      <c r="J20" s="22"/>
      <c r="K20" s="22"/>
      <c r="L20" s="22"/>
      <c r="M20" s="22"/>
      <c r="O20" s="108">
        <v>1</v>
      </c>
      <c r="P20" s="109" t="s">
        <v>12</v>
      </c>
      <c r="Q20" s="15" t="s">
        <v>90</v>
      </c>
      <c r="R20" s="14" t="s">
        <v>117</v>
      </c>
      <c r="S20" s="14">
        <v>49</v>
      </c>
      <c r="V20" s="108"/>
      <c r="W20" s="14" t="s">
        <v>97</v>
      </c>
      <c r="X20" s="27" t="s">
        <v>129</v>
      </c>
      <c r="Y20" s="21"/>
      <c r="Z20" s="23"/>
      <c r="AB20" s="108"/>
      <c r="AC20" s="108"/>
      <c r="AD20" s="40">
        <v>46282</v>
      </c>
      <c r="AE20" s="23" t="s">
        <v>130</v>
      </c>
      <c r="AF20" s="23">
        <v>12</v>
      </c>
      <c r="AG20" s="113"/>
    </row>
    <row r="21" spans="1:33">
      <c r="A21" s="23"/>
      <c r="B21" s="109" t="s">
        <v>12</v>
      </c>
      <c r="C21" s="15" t="s">
        <v>90</v>
      </c>
      <c r="D21" s="14" t="s">
        <v>131</v>
      </c>
      <c r="E21" s="108" t="s">
        <v>132</v>
      </c>
      <c r="F21" s="119">
        <v>46284</v>
      </c>
      <c r="G21" s="120"/>
      <c r="H21" s="119"/>
      <c r="I21" s="108"/>
      <c r="J21" s="22"/>
      <c r="K21" s="42"/>
      <c r="L21" s="42"/>
      <c r="M21" s="42"/>
      <c r="O21" s="108"/>
      <c r="P21" s="109"/>
      <c r="Q21" s="15" t="s">
        <v>93</v>
      </c>
      <c r="R21" s="14" t="s">
        <v>117</v>
      </c>
      <c r="S21" s="14">
        <v>49</v>
      </c>
      <c r="V21" s="109" t="s">
        <v>11</v>
      </c>
      <c r="W21" s="15" t="s">
        <v>102</v>
      </c>
      <c r="X21" s="117" t="s">
        <v>133</v>
      </c>
      <c r="Y21" s="14"/>
      <c r="Z21" s="14"/>
    </row>
    <row r="22" spans="1:33">
      <c r="A22" s="23"/>
      <c r="B22" s="109"/>
      <c r="C22" s="15" t="s">
        <v>93</v>
      </c>
      <c r="D22" s="14" t="s">
        <v>134</v>
      </c>
      <c r="E22" s="108"/>
      <c r="F22" s="108"/>
      <c r="G22" s="120"/>
      <c r="H22" s="119"/>
      <c r="I22" s="108"/>
      <c r="J22" s="22"/>
      <c r="K22" s="42"/>
      <c r="L22" s="42"/>
      <c r="M22" s="42"/>
      <c r="O22" s="122">
        <v>2</v>
      </c>
      <c r="P22" s="122" t="s">
        <v>13</v>
      </c>
      <c r="Q22" s="14" t="s">
        <v>97</v>
      </c>
      <c r="R22" s="14" t="s">
        <v>121</v>
      </c>
      <c r="S22" s="14">
        <v>17</v>
      </c>
      <c r="V22" s="109"/>
      <c r="W22" s="35" t="s">
        <v>135</v>
      </c>
      <c r="X22" s="118"/>
      <c r="Y22" s="23"/>
      <c r="Z22" s="23"/>
    </row>
    <row r="23" spans="1:33">
      <c r="A23" s="23"/>
      <c r="B23" s="108" t="s">
        <v>13</v>
      </c>
      <c r="C23" s="14" t="s">
        <v>97</v>
      </c>
      <c r="D23" s="23" t="s">
        <v>136</v>
      </c>
      <c r="E23" s="108"/>
      <c r="F23" s="108"/>
      <c r="G23" s="120"/>
      <c r="H23" s="119"/>
      <c r="I23" s="108"/>
      <c r="J23" s="22"/>
      <c r="K23" s="42"/>
      <c r="L23" s="42"/>
      <c r="M23" s="42"/>
      <c r="O23" s="123"/>
      <c r="P23" s="123"/>
      <c r="Q23" t="s">
        <v>92</v>
      </c>
      <c r="R23" s="22" t="s">
        <v>123</v>
      </c>
      <c r="S23" s="25">
        <v>49</v>
      </c>
    </row>
    <row r="24" spans="1:33">
      <c r="A24" s="23"/>
      <c r="B24" s="108"/>
      <c r="C24" s="23" t="s">
        <v>92</v>
      </c>
      <c r="D24" s="23" t="s">
        <v>137</v>
      </c>
      <c r="E24" s="108"/>
      <c r="F24" s="108"/>
      <c r="G24" s="120"/>
      <c r="H24" s="119"/>
      <c r="I24" s="108"/>
      <c r="J24" s="22"/>
      <c r="K24" s="42"/>
      <c r="L24" s="42"/>
      <c r="M24" s="42"/>
      <c r="O24" s="124">
        <v>3</v>
      </c>
      <c r="P24" s="109" t="s">
        <v>14</v>
      </c>
      <c r="Q24" s="15" t="s">
        <v>90</v>
      </c>
      <c r="R24" s="22" t="s">
        <v>126</v>
      </c>
      <c r="S24" s="25">
        <v>23</v>
      </c>
      <c r="V24" s="12" t="s">
        <v>46</v>
      </c>
      <c r="W24" s="12" t="s">
        <v>78</v>
      </c>
      <c r="X24" s="26" t="s">
        <v>79</v>
      </c>
      <c r="Y24" s="14" t="s">
        <v>80</v>
      </c>
      <c r="Z24" s="14" t="s">
        <v>5</v>
      </c>
    </row>
    <row r="25" spans="1:33">
      <c r="A25" s="23"/>
      <c r="B25" s="109" t="s">
        <v>14</v>
      </c>
      <c r="C25" s="15" t="s">
        <v>90</v>
      </c>
      <c r="D25" s="23" t="s">
        <v>138</v>
      </c>
      <c r="E25" s="108"/>
      <c r="F25" s="108"/>
      <c r="G25" s="120"/>
      <c r="H25" s="119"/>
      <c r="I25" s="108"/>
      <c r="J25" s="22"/>
      <c r="K25" s="42"/>
      <c r="L25" s="42"/>
      <c r="M25" s="42"/>
      <c r="O25" s="124"/>
      <c r="P25" s="109"/>
      <c r="Q25" s="15" t="s">
        <v>93</v>
      </c>
      <c r="R25" s="22" t="s">
        <v>126</v>
      </c>
      <c r="S25" s="25">
        <v>23</v>
      </c>
      <c r="V25" s="109" t="s">
        <v>12</v>
      </c>
      <c r="W25" s="15" t="s">
        <v>90</v>
      </c>
      <c r="X25" s="108" t="s">
        <v>139</v>
      </c>
      <c r="Y25" s="14"/>
      <c r="Z25" s="14"/>
    </row>
    <row r="26" spans="1:33">
      <c r="A26" s="23"/>
      <c r="B26" s="109"/>
      <c r="C26" s="15" t="s">
        <v>93</v>
      </c>
      <c r="D26" s="23" t="s">
        <v>138</v>
      </c>
      <c r="E26" s="108"/>
      <c r="F26" s="108"/>
      <c r="G26" s="120"/>
      <c r="H26" s="119"/>
      <c r="I26" s="108"/>
      <c r="J26" s="22"/>
      <c r="K26" s="42"/>
      <c r="L26" s="42"/>
      <c r="M26" s="42"/>
      <c r="V26" s="109"/>
      <c r="W26" s="15" t="s">
        <v>93</v>
      </c>
      <c r="X26" s="108"/>
      <c r="Y26" s="14"/>
      <c r="Z26" s="14"/>
    </row>
    <row r="27" spans="1:33">
      <c r="A27" s="23"/>
      <c r="B27" s="15" t="s">
        <v>11</v>
      </c>
      <c r="C27" s="15" t="s">
        <v>135</v>
      </c>
      <c r="D27" s="23" t="s">
        <v>140</v>
      </c>
      <c r="E27" s="23" t="s">
        <v>95</v>
      </c>
      <c r="F27" s="40">
        <v>46286</v>
      </c>
      <c r="G27" s="19">
        <v>0.52083333333333337</v>
      </c>
      <c r="H27" s="119">
        <v>46291</v>
      </c>
      <c r="I27" s="108">
        <f>H27-F28</f>
        <v>4</v>
      </c>
      <c r="J27" s="22"/>
      <c r="K27" s="38"/>
      <c r="L27" s="38"/>
      <c r="M27" s="38"/>
      <c r="V27" s="109" t="s">
        <v>14</v>
      </c>
      <c r="W27" s="15" t="s">
        <v>90</v>
      </c>
      <c r="X27" s="108" t="s">
        <v>139</v>
      </c>
      <c r="Y27" s="14"/>
      <c r="Z27" s="14"/>
    </row>
    <row r="28" spans="1:33">
      <c r="A28" s="23"/>
      <c r="B28" s="15" t="s">
        <v>11</v>
      </c>
      <c r="C28" s="15" t="s">
        <v>135</v>
      </c>
      <c r="D28" s="23" t="s">
        <v>141</v>
      </c>
      <c r="E28" s="108" t="s">
        <v>95</v>
      </c>
      <c r="F28" s="146">
        <v>46287</v>
      </c>
      <c r="G28" s="121">
        <v>4.1666666666666664E-2</v>
      </c>
      <c r="H28" s="108"/>
      <c r="I28" s="108"/>
      <c r="J28" s="22"/>
      <c r="K28" s="37"/>
      <c r="L28" s="37"/>
      <c r="M28" s="37"/>
      <c r="V28" s="109"/>
      <c r="W28" s="15" t="s">
        <v>93</v>
      </c>
      <c r="X28" s="108"/>
      <c r="Y28" s="14"/>
      <c r="Z28" s="14"/>
    </row>
    <row r="29" spans="1:33">
      <c r="A29" s="23"/>
      <c r="B29" s="120" t="s">
        <v>14</v>
      </c>
      <c r="C29" s="15" t="s">
        <v>90</v>
      </c>
      <c r="D29" s="23" t="s">
        <v>141</v>
      </c>
      <c r="E29" s="108"/>
      <c r="F29" s="146"/>
      <c r="G29" s="121"/>
      <c r="H29" s="108"/>
      <c r="I29" s="108"/>
      <c r="J29" s="22"/>
      <c r="K29" s="37"/>
      <c r="L29" s="37"/>
      <c r="M29" s="37"/>
      <c r="V29" s="108" t="s">
        <v>13</v>
      </c>
      <c r="W29" s="23" t="s">
        <v>92</v>
      </c>
      <c r="X29" s="23" t="s">
        <v>127</v>
      </c>
      <c r="Y29" s="21"/>
      <c r="Z29" s="14"/>
    </row>
    <row r="30" spans="1:33">
      <c r="A30" s="23"/>
      <c r="B30" s="120"/>
      <c r="C30" s="15" t="s">
        <v>93</v>
      </c>
      <c r="D30" s="23" t="s">
        <v>59</v>
      </c>
      <c r="E30" s="108"/>
      <c r="F30" s="21">
        <v>46288</v>
      </c>
      <c r="G30" s="18">
        <v>0.41666666666666669</v>
      </c>
      <c r="H30" s="126" t="s">
        <v>142</v>
      </c>
      <c r="I30" s="137"/>
      <c r="J30" s="37"/>
      <c r="K30" s="37"/>
      <c r="L30" s="37"/>
      <c r="M30" s="37"/>
      <c r="V30" s="108"/>
      <c r="W30" s="14" t="s">
        <v>97</v>
      </c>
      <c r="X30" s="23" t="s">
        <v>129</v>
      </c>
      <c r="Y30" s="21"/>
      <c r="Z30" s="23"/>
    </row>
    <row r="31" spans="1:33">
      <c r="A31" s="23"/>
      <c r="B31" s="14" t="s">
        <v>13</v>
      </c>
      <c r="C31" s="14" t="s">
        <v>97</v>
      </c>
      <c r="D31" s="23" t="s">
        <v>59</v>
      </c>
      <c r="E31" s="108" t="s">
        <v>95</v>
      </c>
      <c r="F31" s="119">
        <v>46291</v>
      </c>
      <c r="G31" s="137" t="s">
        <v>114</v>
      </c>
      <c r="H31" s="140"/>
      <c r="I31" s="138"/>
      <c r="J31" s="37"/>
      <c r="K31" s="37"/>
      <c r="L31" s="37"/>
      <c r="M31" s="37"/>
      <c r="V31" s="14"/>
      <c r="W31" s="14"/>
      <c r="X31" s="23"/>
      <c r="Y31" s="21"/>
      <c r="Z31" s="23"/>
    </row>
    <row r="32" spans="1:33">
      <c r="A32" s="23"/>
      <c r="B32" s="109" t="s">
        <v>11</v>
      </c>
      <c r="C32" s="15" t="s">
        <v>102</v>
      </c>
      <c r="D32" s="23" t="s">
        <v>121</v>
      </c>
      <c r="E32" s="108"/>
      <c r="F32" s="119"/>
      <c r="G32" s="138"/>
      <c r="H32" s="140"/>
      <c r="I32" s="138"/>
      <c r="J32" s="37"/>
      <c r="K32" s="37"/>
      <c r="L32" s="37"/>
      <c r="M32" s="37"/>
      <c r="V32" s="14"/>
      <c r="W32" s="14"/>
      <c r="X32" s="23"/>
      <c r="Y32" s="21"/>
      <c r="Z32" s="23"/>
    </row>
    <row r="33" spans="1:32">
      <c r="A33" s="23"/>
      <c r="B33" s="109"/>
      <c r="C33" s="15" t="s">
        <v>135</v>
      </c>
      <c r="D33" s="23" t="s">
        <v>143</v>
      </c>
      <c r="E33" s="108"/>
      <c r="F33" s="119"/>
      <c r="G33" s="139"/>
      <c r="H33" s="140"/>
      <c r="I33" s="138"/>
      <c r="J33" s="37"/>
      <c r="K33" s="37"/>
      <c r="L33" s="37"/>
      <c r="M33" s="37"/>
      <c r="V33" s="14"/>
      <c r="W33" s="14"/>
      <c r="X33" s="23"/>
      <c r="Y33" s="21"/>
      <c r="Z33" s="23"/>
    </row>
    <row r="34" spans="1:32" ht="15.75">
      <c r="A34" s="23"/>
      <c r="B34" s="51" t="s">
        <v>65</v>
      </c>
      <c r="C34" s="23" t="s">
        <v>144</v>
      </c>
      <c r="D34" s="14" t="s">
        <v>145</v>
      </c>
      <c r="E34" s="108" t="s">
        <v>146</v>
      </c>
      <c r="F34" s="119">
        <v>46291</v>
      </c>
      <c r="G34" s="108" t="s">
        <v>147</v>
      </c>
      <c r="H34" s="140"/>
      <c r="I34" s="138"/>
      <c r="J34" s="42"/>
      <c r="K34" s="42"/>
      <c r="L34" s="42"/>
      <c r="M34" s="42"/>
      <c r="V34" s="109" t="s">
        <v>11</v>
      </c>
      <c r="W34" s="15" t="s">
        <v>102</v>
      </c>
      <c r="X34" s="23" t="s">
        <v>148</v>
      </c>
      <c r="Y34" s="14"/>
      <c r="Z34" s="14"/>
    </row>
    <row r="35" spans="1:32" ht="15.75">
      <c r="A35" s="23"/>
      <c r="B35" s="51" t="s">
        <v>69</v>
      </c>
      <c r="C35" s="23" t="s">
        <v>144</v>
      </c>
      <c r="D35" s="14" t="s">
        <v>145</v>
      </c>
      <c r="E35" s="108"/>
      <c r="F35" s="108"/>
      <c r="G35" s="108"/>
      <c r="H35" s="140"/>
      <c r="I35" s="138"/>
      <c r="J35" s="42"/>
      <c r="K35" s="42"/>
      <c r="L35" s="42"/>
      <c r="M35" s="42"/>
      <c r="V35" s="109"/>
      <c r="W35" s="15" t="s">
        <v>135</v>
      </c>
      <c r="X35" s="23" t="s">
        <v>149</v>
      </c>
      <c r="Y35" s="23"/>
      <c r="Z35" s="23"/>
    </row>
    <row r="36" spans="1:32" ht="15.75">
      <c r="A36" s="23"/>
      <c r="B36" s="51" t="s">
        <v>71</v>
      </c>
      <c r="C36" s="23" t="s">
        <v>144</v>
      </c>
      <c r="D36" s="14" t="s">
        <v>150</v>
      </c>
      <c r="E36" s="108"/>
      <c r="F36" s="108"/>
      <c r="G36" s="108"/>
      <c r="H36" s="140"/>
      <c r="I36" s="138"/>
      <c r="J36" s="42"/>
      <c r="K36" s="42"/>
      <c r="L36" s="42"/>
      <c r="M36" s="42"/>
      <c r="X36" s="41"/>
      <c r="Y36" s="22"/>
      <c r="Z36" s="22"/>
    </row>
    <row r="37" spans="1:32">
      <c r="A37" s="23"/>
      <c r="B37" s="147" t="s">
        <v>19</v>
      </c>
      <c r="C37" s="23" t="s">
        <v>151</v>
      </c>
      <c r="D37" s="14" t="s">
        <v>152</v>
      </c>
      <c r="E37" s="108" t="s">
        <v>95</v>
      </c>
      <c r="F37" s="119">
        <v>46294</v>
      </c>
      <c r="G37" s="121">
        <v>0</v>
      </c>
      <c r="H37" s="140"/>
      <c r="I37" s="138"/>
      <c r="X37" s="41"/>
      <c r="Y37" s="34"/>
      <c r="Z37" s="22"/>
    </row>
    <row r="38" spans="1:32">
      <c r="A38" s="23"/>
      <c r="B38" s="147"/>
      <c r="C38" s="23" t="s">
        <v>153</v>
      </c>
      <c r="D38" s="23" t="s">
        <v>59</v>
      </c>
      <c r="E38" s="108"/>
      <c r="F38" s="119"/>
      <c r="G38" s="121"/>
      <c r="H38" s="140"/>
      <c r="I38" s="138"/>
      <c r="V38" s="12" t="s">
        <v>46</v>
      </c>
      <c r="W38" s="12" t="s">
        <v>78</v>
      </c>
      <c r="X38" s="26" t="s">
        <v>79</v>
      </c>
      <c r="Y38" s="14" t="s">
        <v>80</v>
      </c>
      <c r="Z38" s="14" t="s">
        <v>5</v>
      </c>
      <c r="AB38" s="131" t="s">
        <v>154</v>
      </c>
      <c r="AC38" s="131"/>
      <c r="AD38" s="131"/>
      <c r="AE38" s="131"/>
      <c r="AF38" s="131"/>
    </row>
    <row r="39" spans="1:32">
      <c r="A39" s="23"/>
      <c r="B39" s="15" t="s">
        <v>20</v>
      </c>
      <c r="C39" s="23" t="s">
        <v>144</v>
      </c>
      <c r="D39" s="23" t="s">
        <v>59</v>
      </c>
      <c r="E39" s="108"/>
      <c r="F39" s="119"/>
      <c r="G39" s="121"/>
      <c r="H39" s="140"/>
      <c r="I39" s="138"/>
      <c r="U39" s="143" t="s">
        <v>10</v>
      </c>
      <c r="V39" s="108" t="s">
        <v>13</v>
      </c>
      <c r="W39" s="23" t="s">
        <v>92</v>
      </c>
      <c r="X39" s="23" t="s">
        <v>155</v>
      </c>
      <c r="Y39" s="21"/>
      <c r="Z39" s="14"/>
      <c r="AB39" s="45" t="s">
        <v>46</v>
      </c>
      <c r="AC39" s="45" t="s">
        <v>78</v>
      </c>
      <c r="AD39" s="45" t="s">
        <v>80</v>
      </c>
      <c r="AE39" s="45" t="s">
        <v>5</v>
      </c>
      <c r="AF39" s="45" t="s">
        <v>156</v>
      </c>
    </row>
    <row r="40" spans="1:32" ht="15.75">
      <c r="B40" s="51" t="s">
        <v>65</v>
      </c>
      <c r="C40" s="23" t="s">
        <v>144</v>
      </c>
      <c r="D40" s="14" t="s">
        <v>150</v>
      </c>
      <c r="E40" s="120" t="s">
        <v>95</v>
      </c>
      <c r="F40" s="146">
        <v>46295</v>
      </c>
      <c r="G40" s="120" t="s">
        <v>157</v>
      </c>
      <c r="H40" s="140"/>
      <c r="I40" s="138"/>
      <c r="U40" s="144"/>
      <c r="V40" s="108"/>
      <c r="W40" s="14" t="s">
        <v>97</v>
      </c>
      <c r="X40" s="23" t="s">
        <v>158</v>
      </c>
      <c r="Y40" s="21"/>
      <c r="Z40" s="23"/>
      <c r="AB40" s="128" t="s">
        <v>14</v>
      </c>
      <c r="AC40" s="133" t="s">
        <v>144</v>
      </c>
      <c r="AD40" s="132">
        <v>46287</v>
      </c>
      <c r="AE40" s="133" t="s">
        <v>159</v>
      </c>
      <c r="AF40" s="130">
        <v>4</v>
      </c>
    </row>
    <row r="41" spans="1:32" ht="15.75">
      <c r="B41" s="51" t="s">
        <v>69</v>
      </c>
      <c r="C41" s="23" t="s">
        <v>144</v>
      </c>
      <c r="D41" s="14" t="s">
        <v>150</v>
      </c>
      <c r="E41" s="120"/>
      <c r="F41" s="120"/>
      <c r="G41" s="120"/>
      <c r="H41" s="127"/>
      <c r="I41" s="139"/>
      <c r="U41" s="144"/>
      <c r="V41" s="109" t="s">
        <v>11</v>
      </c>
      <c r="W41" s="15" t="s">
        <v>102</v>
      </c>
      <c r="X41" s="23" t="s">
        <v>160</v>
      </c>
      <c r="Y41" s="14"/>
      <c r="Z41" s="14"/>
      <c r="AB41" s="128"/>
      <c r="AC41" s="133"/>
      <c r="AD41" s="132"/>
      <c r="AE41" s="133"/>
      <c r="AF41" s="130"/>
    </row>
    <row r="42" spans="1:32" ht="19.5">
      <c r="U42" s="145"/>
      <c r="V42" s="109"/>
      <c r="W42" s="15" t="s">
        <v>135</v>
      </c>
      <c r="X42" s="23" t="s">
        <v>161</v>
      </c>
      <c r="Y42" s="23"/>
      <c r="Z42" s="23"/>
      <c r="AB42" s="100" t="s">
        <v>11</v>
      </c>
      <c r="AC42" s="96" t="s">
        <v>102</v>
      </c>
      <c r="AD42" s="48">
        <v>46287</v>
      </c>
      <c r="AE42" s="47" t="s">
        <v>162</v>
      </c>
      <c r="AF42" s="46">
        <v>1</v>
      </c>
    </row>
    <row r="43" spans="1:32" ht="19.5">
      <c r="U43" s="141" t="s">
        <v>64</v>
      </c>
      <c r="V43" s="29" t="s">
        <v>65</v>
      </c>
      <c r="W43" s="42" t="s">
        <v>144</v>
      </c>
      <c r="X43" s="14" t="s">
        <v>145</v>
      </c>
      <c r="Y43" s="23"/>
      <c r="Z43" s="23"/>
      <c r="AB43" s="101"/>
      <c r="AC43" s="96"/>
      <c r="AD43" s="48">
        <v>46288</v>
      </c>
      <c r="AE43" s="47" t="s">
        <v>163</v>
      </c>
      <c r="AF43" s="46">
        <v>24</v>
      </c>
    </row>
    <row r="44" spans="1:32" ht="19.5">
      <c r="U44" s="142"/>
      <c r="V44" s="29" t="s">
        <v>69</v>
      </c>
      <c r="W44" s="42" t="s">
        <v>144</v>
      </c>
      <c r="X44" s="14" t="s">
        <v>145</v>
      </c>
      <c r="Y44" s="23"/>
      <c r="Z44" s="23"/>
      <c r="AB44" s="134" t="s">
        <v>13</v>
      </c>
      <c r="AC44" s="129" t="s">
        <v>92</v>
      </c>
      <c r="AD44" s="48">
        <v>46279</v>
      </c>
      <c r="AE44" s="47" t="s">
        <v>164</v>
      </c>
      <c r="AF44" s="46">
        <v>1</v>
      </c>
    </row>
    <row r="45" spans="1:32" ht="19.5">
      <c r="U45" s="29" t="s">
        <v>70</v>
      </c>
      <c r="V45" s="29" t="s">
        <v>71</v>
      </c>
      <c r="W45" s="42" t="s">
        <v>144</v>
      </c>
      <c r="X45" s="14" t="s">
        <v>150</v>
      </c>
      <c r="Y45" s="23"/>
      <c r="Z45" s="23"/>
      <c r="AB45" s="135"/>
      <c r="AC45" s="129"/>
      <c r="AD45" s="48">
        <v>46281</v>
      </c>
      <c r="AE45" s="47" t="s">
        <v>165</v>
      </c>
      <c r="AF45" s="46">
        <v>5</v>
      </c>
    </row>
    <row r="46" spans="1:32" ht="19.5">
      <c r="X46" s="43"/>
      <c r="AB46" s="135"/>
      <c r="AC46" s="129"/>
      <c r="AD46" s="132">
        <v>46286</v>
      </c>
      <c r="AE46" s="85" t="s">
        <v>166</v>
      </c>
      <c r="AF46" s="86">
        <v>1</v>
      </c>
    </row>
    <row r="47" spans="1:32" ht="19.5">
      <c r="AB47" s="135"/>
      <c r="AC47" s="129"/>
      <c r="AD47" s="132"/>
      <c r="AE47" s="85" t="s">
        <v>167</v>
      </c>
      <c r="AF47" s="86">
        <v>1</v>
      </c>
    </row>
    <row r="48" spans="1:32" ht="19.5">
      <c r="AB48" s="135"/>
      <c r="AC48" s="129"/>
      <c r="AD48" s="132"/>
      <c r="AE48" s="85" t="s">
        <v>168</v>
      </c>
      <c r="AF48" s="86">
        <v>9</v>
      </c>
    </row>
    <row r="49" spans="28:32" ht="19.5">
      <c r="AB49" s="135"/>
      <c r="AC49" s="129"/>
      <c r="AD49" s="87">
        <v>46287</v>
      </c>
      <c r="AE49" s="85" t="s">
        <v>163</v>
      </c>
      <c r="AF49" s="86">
        <v>24</v>
      </c>
    </row>
    <row r="50" spans="28:32" ht="19.5">
      <c r="AB50" s="135"/>
      <c r="AC50" s="129"/>
      <c r="AD50" s="87">
        <v>46288</v>
      </c>
      <c r="AE50" s="85" t="s">
        <v>169</v>
      </c>
      <c r="AF50" s="86">
        <v>15</v>
      </c>
    </row>
    <row r="51" spans="28:32" ht="19.5">
      <c r="AB51" s="135"/>
      <c r="AC51" s="129" t="s">
        <v>97</v>
      </c>
      <c r="AD51" s="48">
        <v>46285</v>
      </c>
      <c r="AE51" s="47" t="s">
        <v>170</v>
      </c>
      <c r="AF51" s="46">
        <v>17</v>
      </c>
    </row>
    <row r="52" spans="28:32" ht="19.5">
      <c r="AB52" s="135"/>
      <c r="AC52" s="129"/>
      <c r="AD52" s="87">
        <v>46286</v>
      </c>
      <c r="AE52" s="88" t="s">
        <v>171</v>
      </c>
      <c r="AF52" s="86">
        <v>24</v>
      </c>
    </row>
    <row r="53" spans="28:32" ht="19.5">
      <c r="AB53" s="135"/>
      <c r="AC53" s="129"/>
      <c r="AD53" s="48">
        <v>46287</v>
      </c>
      <c r="AE53" s="47" t="s">
        <v>164</v>
      </c>
      <c r="AF53" s="46">
        <v>1</v>
      </c>
    </row>
    <row r="54" spans="28:32" ht="19.5">
      <c r="AB54" s="135"/>
      <c r="AC54" s="129"/>
      <c r="AD54" s="87">
        <v>46288</v>
      </c>
      <c r="AE54" s="85" t="s">
        <v>172</v>
      </c>
      <c r="AF54" s="86">
        <v>6</v>
      </c>
    </row>
    <row r="55" spans="28:32" ht="23.25">
      <c r="AB55" s="136"/>
      <c r="AC55" s="23"/>
      <c r="AD55" s="23"/>
      <c r="AE55" s="44" t="s">
        <v>89</v>
      </c>
      <c r="AF55" s="44">
        <f>SUM(AF40:AF54)</f>
        <v>133</v>
      </c>
    </row>
    <row r="56" spans="28:32">
      <c r="AB56" s="23"/>
    </row>
    <row r="58" spans="28:32">
      <c r="AC58" s="111" t="s">
        <v>77</v>
      </c>
      <c r="AD58" s="111"/>
    </row>
    <row r="59" spans="28:32">
      <c r="AC59" s="12" t="s">
        <v>78</v>
      </c>
      <c r="AD59" s="12" t="s">
        <v>80</v>
      </c>
      <c r="AE59" s="12" t="s">
        <v>5</v>
      </c>
    </row>
    <row r="60" spans="28:32">
      <c r="AB60" s="12" t="s">
        <v>46</v>
      </c>
      <c r="AC60" s="14" t="s">
        <v>173</v>
      </c>
      <c r="AD60" s="40">
        <v>46285</v>
      </c>
      <c r="AE60" s="23" t="s">
        <v>174</v>
      </c>
    </row>
    <row r="61" spans="28:32">
      <c r="AB61" s="14" t="s">
        <v>71</v>
      </c>
    </row>
  </sheetData>
  <mergeCells count="112">
    <mergeCell ref="H27:H29"/>
    <mergeCell ref="I27:I29"/>
    <mergeCell ref="B32:B33"/>
    <mergeCell ref="F31:F33"/>
    <mergeCell ref="E31:E33"/>
    <mergeCell ref="G31:G33"/>
    <mergeCell ref="H30:H41"/>
    <mergeCell ref="I30:I41"/>
    <mergeCell ref="U43:U44"/>
    <mergeCell ref="U39:U42"/>
    <mergeCell ref="E34:E36"/>
    <mergeCell ref="F34:F36"/>
    <mergeCell ref="G34:G36"/>
    <mergeCell ref="E40:E41"/>
    <mergeCell ref="F40:F41"/>
    <mergeCell ref="G40:G41"/>
    <mergeCell ref="F28:F29"/>
    <mergeCell ref="G28:G29"/>
    <mergeCell ref="B37:B38"/>
    <mergeCell ref="E37:E39"/>
    <mergeCell ref="F37:F39"/>
    <mergeCell ref="G37:G39"/>
    <mergeCell ref="B29:B30"/>
    <mergeCell ref="E28:E30"/>
    <mergeCell ref="AC51:AC54"/>
    <mergeCell ref="AC58:AD58"/>
    <mergeCell ref="AF40:AF41"/>
    <mergeCell ref="AB38:AF38"/>
    <mergeCell ref="AD46:AD48"/>
    <mergeCell ref="AC44:AC50"/>
    <mergeCell ref="AC42:AC43"/>
    <mergeCell ref="AC40:AC41"/>
    <mergeCell ref="AD40:AD41"/>
    <mergeCell ref="AE40:AE41"/>
    <mergeCell ref="AB42:AB43"/>
    <mergeCell ref="AB44:AB55"/>
    <mergeCell ref="V39:V40"/>
    <mergeCell ref="V41:V42"/>
    <mergeCell ref="W8:W9"/>
    <mergeCell ref="X21:X22"/>
    <mergeCell ref="AB19:AB20"/>
    <mergeCell ref="V27:V28"/>
    <mergeCell ref="X27:X28"/>
    <mergeCell ref="V29:V30"/>
    <mergeCell ref="V34:V35"/>
    <mergeCell ref="AB40:AB41"/>
    <mergeCell ref="V25:V26"/>
    <mergeCell ref="F6:F7"/>
    <mergeCell ref="AC19:AC20"/>
    <mergeCell ref="AC1:AD1"/>
    <mergeCell ref="AE6:AE7"/>
    <mergeCell ref="AC4:AC7"/>
    <mergeCell ref="AB3:AB7"/>
    <mergeCell ref="Y1:Z1"/>
    <mergeCell ref="F12:F14"/>
    <mergeCell ref="G12:G14"/>
    <mergeCell ref="X25:X26"/>
    <mergeCell ref="O2:S2"/>
    <mergeCell ref="V3:V4"/>
    <mergeCell ref="V5:V6"/>
    <mergeCell ref="V7:V8"/>
    <mergeCell ref="F15:F20"/>
    <mergeCell ref="G15:G20"/>
    <mergeCell ref="O20:O21"/>
    <mergeCell ref="O14:O15"/>
    <mergeCell ref="P22:P23"/>
    <mergeCell ref="H10:H26"/>
    <mergeCell ref="I10:I26"/>
    <mergeCell ref="AG19:AG20"/>
    <mergeCell ref="AB17:AG17"/>
    <mergeCell ref="V9:V10"/>
    <mergeCell ref="X3:X4"/>
    <mergeCell ref="X5:X6"/>
    <mergeCell ref="F21:F26"/>
    <mergeCell ref="G21:G26"/>
    <mergeCell ref="V15:V16"/>
    <mergeCell ref="V17:V18"/>
    <mergeCell ref="X17:X18"/>
    <mergeCell ref="V19:V20"/>
    <mergeCell ref="V21:V22"/>
    <mergeCell ref="G4:G5"/>
    <mergeCell ref="P4:P5"/>
    <mergeCell ref="P8:P9"/>
    <mergeCell ref="O4:O5"/>
    <mergeCell ref="O6:O7"/>
    <mergeCell ref="O8:O9"/>
    <mergeCell ref="P6:P7"/>
    <mergeCell ref="H4:H5"/>
    <mergeCell ref="P24:P25"/>
    <mergeCell ref="O22:O23"/>
    <mergeCell ref="O24:O25"/>
    <mergeCell ref="P20:P21"/>
    <mergeCell ref="O12:S12"/>
    <mergeCell ref="P14:P15"/>
    <mergeCell ref="A4:A5"/>
    <mergeCell ref="B4:B5"/>
    <mergeCell ref="E4:E5"/>
    <mergeCell ref="B10:B11"/>
    <mergeCell ref="B12:B13"/>
    <mergeCell ref="E12:E14"/>
    <mergeCell ref="E6:E7"/>
    <mergeCell ref="I4:I5"/>
    <mergeCell ref="F4:F5"/>
    <mergeCell ref="B23:B24"/>
    <mergeCell ref="B25:B26"/>
    <mergeCell ref="E21:E26"/>
    <mergeCell ref="B21:B22"/>
    <mergeCell ref="B19:B20"/>
    <mergeCell ref="E15:E20"/>
    <mergeCell ref="B15:B16"/>
    <mergeCell ref="B17:B18"/>
    <mergeCell ref="O18:S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5500-D05C-4F9F-BDF4-59B601FCC523}">
  <dimension ref="C3:I15"/>
  <sheetViews>
    <sheetView tabSelected="1" workbookViewId="0">
      <selection activeCell="K10" sqref="K10"/>
    </sheetView>
  </sheetViews>
  <sheetFormatPr defaultRowHeight="15"/>
  <cols>
    <col min="4" max="4" width="29.85546875" bestFit="1" customWidth="1"/>
    <col min="5" max="5" width="11.28515625" customWidth="1"/>
    <col min="6" max="6" width="23.42578125" customWidth="1"/>
    <col min="7" max="7" width="20.42578125" customWidth="1"/>
    <col min="8" max="8" width="22.7109375" bestFit="1" customWidth="1"/>
    <col min="9" max="9" width="19.5703125" bestFit="1" customWidth="1"/>
  </cols>
  <sheetData>
    <row r="3" spans="3:9" ht="15.75">
      <c r="C3" s="1" t="s">
        <v>31</v>
      </c>
      <c r="D3" s="1" t="s">
        <v>175</v>
      </c>
      <c r="E3" s="1" t="s">
        <v>176</v>
      </c>
      <c r="F3" s="1" t="s">
        <v>177</v>
      </c>
      <c r="G3" s="1" t="s">
        <v>178</v>
      </c>
      <c r="H3" s="1" t="s">
        <v>179</v>
      </c>
      <c r="I3" s="1" t="s">
        <v>180</v>
      </c>
    </row>
    <row r="4" spans="3:9" ht="19.5">
      <c r="C4" s="2">
        <v>1</v>
      </c>
      <c r="D4" s="15" t="s">
        <v>12</v>
      </c>
      <c r="E4" s="2"/>
      <c r="F4" s="39">
        <v>11</v>
      </c>
      <c r="G4" s="2">
        <v>0</v>
      </c>
      <c r="H4" s="2">
        <v>7</v>
      </c>
      <c r="I4" s="2">
        <v>4</v>
      </c>
    </row>
    <row r="5" spans="3:9" ht="19.5">
      <c r="C5" s="2">
        <v>2</v>
      </c>
      <c r="D5" s="15" t="s">
        <v>14</v>
      </c>
      <c r="E5" s="2"/>
      <c r="F5" s="39">
        <v>11</v>
      </c>
      <c r="G5" s="2">
        <v>0</v>
      </c>
      <c r="H5" s="2">
        <v>8</v>
      </c>
      <c r="I5" s="2">
        <v>3</v>
      </c>
    </row>
    <row r="6" spans="3:9" ht="19.5">
      <c r="C6" s="2">
        <v>3</v>
      </c>
      <c r="D6" s="15" t="s">
        <v>13</v>
      </c>
      <c r="E6" s="2"/>
      <c r="F6" s="39">
        <v>11</v>
      </c>
      <c r="G6" s="2">
        <v>0</v>
      </c>
      <c r="H6" s="2">
        <v>3</v>
      </c>
      <c r="I6" s="2">
        <v>7</v>
      </c>
    </row>
    <row r="7" spans="3:9" ht="19.5">
      <c r="C7" s="2">
        <v>4</v>
      </c>
      <c r="D7" s="15" t="s">
        <v>11</v>
      </c>
      <c r="E7" s="2"/>
      <c r="F7" s="39">
        <v>10</v>
      </c>
      <c r="G7" s="2">
        <v>3</v>
      </c>
      <c r="H7" s="2">
        <v>4</v>
      </c>
      <c r="I7" s="2">
        <v>3</v>
      </c>
    </row>
    <row r="8" spans="3:9" ht="19.5">
      <c r="C8" s="2">
        <v>5</v>
      </c>
      <c r="D8" s="15" t="s">
        <v>65</v>
      </c>
      <c r="E8" s="2"/>
      <c r="F8" s="39">
        <v>7</v>
      </c>
      <c r="G8" s="2">
        <v>4</v>
      </c>
      <c r="H8" s="2">
        <v>0</v>
      </c>
      <c r="I8" s="2">
        <f t="shared" ref="I8:I11" si="0">F8-G8</f>
        <v>3</v>
      </c>
    </row>
    <row r="9" spans="3:9" ht="19.5">
      <c r="C9" s="2">
        <v>6</v>
      </c>
      <c r="D9" s="15" t="s">
        <v>69</v>
      </c>
      <c r="E9" s="2"/>
      <c r="F9" s="39">
        <v>7</v>
      </c>
      <c r="G9" s="2">
        <v>4</v>
      </c>
      <c r="H9" s="2">
        <v>0</v>
      </c>
      <c r="I9" s="2">
        <f t="shared" si="0"/>
        <v>3</v>
      </c>
    </row>
    <row r="10" spans="3:9" ht="19.5">
      <c r="C10" s="2">
        <v>7</v>
      </c>
      <c r="D10" s="15" t="s">
        <v>71</v>
      </c>
      <c r="E10" s="2"/>
      <c r="F10" s="39">
        <v>3</v>
      </c>
      <c r="G10" s="2">
        <v>0</v>
      </c>
      <c r="H10" s="2">
        <v>0</v>
      </c>
      <c r="I10" s="2">
        <f t="shared" si="0"/>
        <v>3</v>
      </c>
    </row>
    <row r="11" spans="3:9" ht="15.75">
      <c r="C11" s="2">
        <v>8</v>
      </c>
      <c r="D11" s="15" t="s">
        <v>19</v>
      </c>
      <c r="E11" s="2"/>
      <c r="F11" s="2">
        <v>1</v>
      </c>
      <c r="G11" s="2">
        <v>0</v>
      </c>
      <c r="H11" s="2">
        <v>0</v>
      </c>
      <c r="I11" s="2">
        <f t="shared" si="0"/>
        <v>1</v>
      </c>
    </row>
    <row r="12" spans="3:9" ht="19.5">
      <c r="C12" s="2">
        <v>9</v>
      </c>
      <c r="D12" s="15" t="s">
        <v>20</v>
      </c>
      <c r="E12" s="23"/>
      <c r="F12" s="39">
        <v>2</v>
      </c>
      <c r="G12" s="2">
        <v>0</v>
      </c>
      <c r="H12" s="2">
        <v>0</v>
      </c>
      <c r="I12" s="2">
        <f t="shared" ref="I12" si="1">F12-G12</f>
        <v>2</v>
      </c>
    </row>
    <row r="13" spans="3:9" ht="19.5">
      <c r="C13" s="2">
        <v>10</v>
      </c>
      <c r="D13" s="15" t="s">
        <v>16</v>
      </c>
      <c r="E13" s="23"/>
      <c r="F13" s="39">
        <v>0</v>
      </c>
      <c r="G13" s="2">
        <v>0</v>
      </c>
      <c r="H13" s="2">
        <v>0</v>
      </c>
      <c r="I13" s="2">
        <f t="shared" ref="I13:I15" si="2">F13-G13</f>
        <v>0</v>
      </c>
    </row>
    <row r="14" spans="3:9" ht="19.5">
      <c r="C14" s="2">
        <v>11</v>
      </c>
      <c r="D14" s="15" t="s">
        <v>17</v>
      </c>
      <c r="E14" s="23"/>
      <c r="F14" s="39">
        <v>0</v>
      </c>
      <c r="G14" s="2">
        <v>0</v>
      </c>
      <c r="H14" s="2">
        <v>0</v>
      </c>
      <c r="I14" s="2">
        <f t="shared" si="2"/>
        <v>0</v>
      </c>
    </row>
    <row r="15" spans="3:9" ht="19.5">
      <c r="C15" s="2">
        <v>12</v>
      </c>
      <c r="D15" s="15" t="s">
        <v>74</v>
      </c>
      <c r="E15" s="23"/>
      <c r="F15" s="39">
        <v>0</v>
      </c>
      <c r="G15" s="2">
        <v>0</v>
      </c>
      <c r="H15" s="2">
        <v>0</v>
      </c>
      <c r="I15" s="2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Fakeer Pasha</dc:creator>
  <cp:keywords/>
  <dc:description/>
  <cp:lastModifiedBy>Nandan Harish Karati</cp:lastModifiedBy>
  <cp:revision/>
  <dcterms:created xsi:type="dcterms:W3CDTF">2015-06-05T18:17:20Z</dcterms:created>
  <dcterms:modified xsi:type="dcterms:W3CDTF">2026-10-05T07:11:26Z</dcterms:modified>
  <cp:category/>
  <cp:contentStatus/>
</cp:coreProperties>
</file>