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V5" i="1"/>
  <c r="U5" i="1"/>
  <c r="T5" i="1"/>
  <c r="S5" i="1"/>
  <c r="R5" i="1"/>
  <c r="Q5" i="1"/>
  <c r="O5" i="1"/>
  <c r="E5" i="1"/>
  <c r="G5" i="1" s="1"/>
  <c r="W4" i="1"/>
  <c r="V4" i="1"/>
  <c r="U4" i="1"/>
  <c r="T4" i="1"/>
  <c r="S4" i="1"/>
  <c r="R4" i="1"/>
  <c r="Q4" i="1"/>
  <c r="O4" i="1"/>
  <c r="E4" i="1"/>
  <c r="G4" i="1" s="1"/>
</calcChain>
</file>

<file path=xl/sharedStrings.xml><?xml version="1.0" encoding="utf-8"?>
<sst xmlns="http://schemas.openxmlformats.org/spreadsheetml/2006/main" count="32" uniqueCount="28">
  <si>
    <t xml:space="preserve">Status of Reports </t>
  </si>
  <si>
    <t>Submitted report No of days</t>
  </si>
  <si>
    <t>As per SLA</t>
  </si>
  <si>
    <t>S.no</t>
  </si>
  <si>
    <t>Name of the Project</t>
  </si>
  <si>
    <t>Chainage (km)</t>
  </si>
  <si>
    <t>Total Length (km)</t>
  </si>
  <si>
    <t>No of lanes</t>
  </si>
  <si>
    <t>Total lane length (km)</t>
  </si>
  <si>
    <t>Surevey &amp; Report Dates</t>
  </si>
  <si>
    <t>From</t>
  </si>
  <si>
    <t>To</t>
  </si>
  <si>
    <t>Survey strating</t>
  </si>
  <si>
    <t>Survey Ending</t>
  </si>
  <si>
    <t>Data Received to office from site</t>
  </si>
  <si>
    <t>Data updated from E-NEXCO</t>
  </si>
  <si>
    <t>Roughness</t>
  </si>
  <si>
    <t>Rutting</t>
  </si>
  <si>
    <t>Pavement Evaluation</t>
  </si>
  <si>
    <t>As per schedule</t>
  </si>
  <si>
    <t>Monsoon</t>
  </si>
  <si>
    <t xml:space="preserve">No of days to PE report </t>
  </si>
  <si>
    <t>IRI &lt;7</t>
  </si>
  <si>
    <t>RUT &lt;10</t>
  </si>
  <si>
    <t>PE &lt;30</t>
  </si>
  <si>
    <t>GAEPL</t>
  </si>
  <si>
    <t>Premonsoon 2026</t>
  </si>
  <si>
    <t>DHMEPL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</si>
</sst>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9]mmmm\ d\,\ yyyy;@"/>
  </numFmts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FF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rgb="FF000000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5" fontId="2" fillId="5" borderId="3" xfId="0" applyNumberFormat="1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165" fontId="2" fillId="5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theme="7"/>
        </patternFill>
      </fill>
    </dxf>
    <dxf>
      <font>
        <color rgb="FF9C0006"/>
      </font>
      <fill>
        <patternFill patternType="solid">
          <bgColor theme="7"/>
        </patternFill>
      </fill>
    </dxf>
    <dxf>
      <font>
        <color rgb="FF9C0006"/>
      </font>
      <fill>
        <patternFill patternType="solid"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topLeftCell="F1" workbookViewId="0">
      <selection activeCell="L14" sqref="L14"/>
    </sheetView>
  </sheetViews>
  <sheetFormatPr defaultRowHeight="14.4" x14ac:dyDescent="0.3"/>
  <cols>
    <col min="1" max="1" width="4.88671875" bestFit="1" customWidth="1"/>
    <col min="2" max="2" width="18.5546875" bestFit="1" customWidth="1"/>
    <col min="3" max="3" width="6.5546875" bestFit="1" customWidth="1"/>
    <col min="4" max="4" width="7.5546875" bestFit="1" customWidth="1"/>
    <col min="5" max="5" width="17" bestFit="1" customWidth="1"/>
    <col min="6" max="6" width="10.77734375" bestFit="1" customWidth="1"/>
    <col min="7" max="7" width="20.44140625" bestFit="1" customWidth="1"/>
    <col min="8" max="12" width="17.44140625" bestFit="1" customWidth="1"/>
    <col min="13" max="13" width="7.5546875" bestFit="1" customWidth="1"/>
    <col min="14" max="14" width="8.77734375" bestFit="1" customWidth="1"/>
    <col min="15" max="15" width="15.21875" bestFit="1" customWidth="1"/>
    <col min="16" max="16" width="15.77734375" bestFit="1" customWidth="1"/>
    <col min="17" max="17" width="7.21875" bestFit="1" customWidth="1"/>
    <col min="18" max="18" width="6.33203125" bestFit="1" customWidth="1"/>
    <col min="19" max="19" width="8.77734375" bestFit="1" customWidth="1"/>
    <col min="20" max="20" width="7.109375" bestFit="1" customWidth="1"/>
    <col min="21" max="21" width="17.44140625" bestFit="1" customWidth="1"/>
    <col min="22" max="22" width="14.21875" bestFit="1" customWidth="1"/>
    <col min="23" max="23" width="15.21875" bestFit="1" customWidth="1"/>
  </cols>
  <sheetData>
    <row r="1" spans="1:2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3"/>
      <c r="T1" s="3"/>
      <c r="U1" s="4" t="s">
        <v>2</v>
      </c>
      <c r="V1" s="3"/>
      <c r="W1" s="3"/>
    </row>
    <row r="2" spans="1:23" x14ac:dyDescent="0.3">
      <c r="A2" s="5" t="s">
        <v>3</v>
      </c>
      <c r="B2" s="6" t="s">
        <v>4</v>
      </c>
      <c r="C2" s="5" t="s">
        <v>5</v>
      </c>
      <c r="D2" s="5"/>
      <c r="E2" s="5" t="s">
        <v>6</v>
      </c>
      <c r="F2" s="5" t="s">
        <v>7</v>
      </c>
      <c r="G2" s="5" t="s">
        <v>8</v>
      </c>
      <c r="H2" s="5" t="s">
        <v>9</v>
      </c>
      <c r="I2" s="5"/>
      <c r="J2" s="5"/>
      <c r="K2" s="5"/>
      <c r="L2" s="5"/>
      <c r="M2" s="5"/>
      <c r="N2" s="5"/>
      <c r="O2" s="7"/>
      <c r="P2" s="7"/>
      <c r="Q2" s="8"/>
      <c r="R2" s="3"/>
      <c r="S2" s="3"/>
      <c r="T2" s="3"/>
      <c r="U2" s="4"/>
      <c r="V2" s="3"/>
      <c r="W2" s="3"/>
    </row>
    <row r="3" spans="1:23" ht="55.2" x14ac:dyDescent="0.3">
      <c r="A3" s="5"/>
      <c r="B3" s="9"/>
      <c r="C3" s="10" t="s">
        <v>10</v>
      </c>
      <c r="D3" s="10" t="s">
        <v>11</v>
      </c>
      <c r="E3" s="5"/>
      <c r="F3" s="5"/>
      <c r="G3" s="5"/>
      <c r="H3" s="10" t="s">
        <v>12</v>
      </c>
      <c r="I3" s="10" t="s">
        <v>13</v>
      </c>
      <c r="J3" s="10" t="s">
        <v>14</v>
      </c>
      <c r="K3" s="10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  <c r="Q3" s="12" t="s">
        <v>21</v>
      </c>
      <c r="R3" s="13" t="s">
        <v>22</v>
      </c>
      <c r="S3" s="13" t="s">
        <v>23</v>
      </c>
      <c r="T3" s="13" t="s">
        <v>24</v>
      </c>
      <c r="U3" s="14" t="s">
        <v>16</v>
      </c>
      <c r="V3" s="14" t="s">
        <v>17</v>
      </c>
      <c r="W3" s="14" t="s">
        <v>18</v>
      </c>
    </row>
    <row r="4" spans="1:23" x14ac:dyDescent="0.3">
      <c r="A4" s="15">
        <v>1</v>
      </c>
      <c r="B4" s="16" t="s">
        <v>25</v>
      </c>
      <c r="C4" s="17">
        <v>23.6</v>
      </c>
      <c r="D4" s="17">
        <v>149.5</v>
      </c>
      <c r="E4" s="17">
        <f t="shared" ref="E4:E5" si="0">D4-C4</f>
        <v>125.9</v>
      </c>
      <c r="F4" s="15">
        <v>6</v>
      </c>
      <c r="G4" s="17">
        <f t="shared" ref="G4:G5" si="1">E4*F4</f>
        <v>755.40000000000009</v>
      </c>
      <c r="H4" s="18">
        <v>46276</v>
      </c>
      <c r="I4" s="18">
        <v>46282</v>
      </c>
      <c r="J4" s="18">
        <v>46288</v>
      </c>
      <c r="K4" s="18">
        <v>46288</v>
      </c>
      <c r="L4" s="18">
        <v>46320</v>
      </c>
      <c r="M4" s="18"/>
      <c r="N4" s="18"/>
      <c r="O4" s="19">
        <f t="shared" ref="O4:O5" si="2">J4+30</f>
        <v>46318</v>
      </c>
      <c r="P4" s="20" t="s">
        <v>26</v>
      </c>
      <c r="Q4" s="21">
        <f t="shared" ref="Q4:Q5" si="3">N4-J4</f>
        <v>-46288</v>
      </c>
      <c r="R4" s="22">
        <f>(L4-K4)+1</f>
        <v>33</v>
      </c>
      <c r="S4" s="22">
        <f>(M4-J4)+1</f>
        <v>-46287</v>
      </c>
      <c r="T4" s="22">
        <f>(N4-J4)+1</f>
        <v>-46287</v>
      </c>
      <c r="U4" s="23">
        <f>K4+6</f>
        <v>46294</v>
      </c>
      <c r="V4" s="23">
        <f>K4+9</f>
        <v>46297</v>
      </c>
      <c r="W4" s="23">
        <f>K4+29</f>
        <v>46317</v>
      </c>
    </row>
    <row r="5" spans="1:23" x14ac:dyDescent="0.3">
      <c r="A5" s="15">
        <v>2</v>
      </c>
      <c r="B5" s="16" t="s">
        <v>27</v>
      </c>
      <c r="C5" s="17">
        <v>28</v>
      </c>
      <c r="D5" s="17">
        <v>59.77</v>
      </c>
      <c r="E5" s="17">
        <f t="shared" si="0"/>
        <v>31.770000000000003</v>
      </c>
      <c r="F5" s="15">
        <v>6</v>
      </c>
      <c r="G5" s="17">
        <f t="shared" si="1"/>
        <v>190.62</v>
      </c>
      <c r="H5" s="18">
        <v>46284</v>
      </c>
      <c r="I5" s="18">
        <v>46289</v>
      </c>
      <c r="J5" s="18">
        <v>46292</v>
      </c>
      <c r="K5" s="18">
        <v>46293</v>
      </c>
      <c r="L5" s="18">
        <v>46294</v>
      </c>
      <c r="M5" s="18"/>
      <c r="N5" s="18"/>
      <c r="O5" s="19">
        <f t="shared" si="2"/>
        <v>46322</v>
      </c>
      <c r="P5" s="20" t="s">
        <v>26</v>
      </c>
      <c r="Q5" s="21">
        <f t="shared" si="3"/>
        <v>-46292</v>
      </c>
      <c r="R5" s="22">
        <f>(L5-K5)+1</f>
        <v>2</v>
      </c>
      <c r="S5" s="22">
        <f>(M5-J5)+1</f>
        <v>-46291</v>
      </c>
      <c r="T5" s="22">
        <f>(N5-J5)+1</f>
        <v>-46291</v>
      </c>
      <c r="U5" s="23">
        <f>K5+6</f>
        <v>46299</v>
      </c>
      <c r="V5" s="23">
        <f>K5+9</f>
        <v>46302</v>
      </c>
      <c r="W5" s="23">
        <f>K5+29</f>
        <v>46322</v>
      </c>
    </row>
  </sheetData>
  <mergeCells count="10">
    <mergeCell ref="A1:Q1"/>
    <mergeCell ref="R1:T2"/>
    <mergeCell ref="U1:W2"/>
    <mergeCell ref="A2:A3"/>
    <mergeCell ref="B2:B3"/>
    <mergeCell ref="C2:D2"/>
    <mergeCell ref="E2:E3"/>
    <mergeCell ref="F2:F3"/>
    <mergeCell ref="G2:G3"/>
    <mergeCell ref="H2:N2"/>
  </mergeCells>
  <conditionalFormatting sqref="R4:R5">
    <cfRule type="cellIs" dxfId="2" priority="3" operator="greaterThan">
      <formula>7</formula>
    </cfRule>
  </conditionalFormatting>
  <conditionalFormatting sqref="S4:S5">
    <cfRule type="cellIs" dxfId="1" priority="2" operator="greaterThan">
      <formula>10</formula>
    </cfRule>
  </conditionalFormatting>
  <conditionalFormatting sqref="T4:T5">
    <cfRule type="cellIs" dxfId="0" priority="1" operator="greaterThan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2026-10-01T09:14:17Z</dcterms:created>
  <dcterms:modified xsi:type="dcterms:W3CDTF">2026-10-01T10:04:38Z</dcterms:modified>
</cp:coreProperties>
</file>